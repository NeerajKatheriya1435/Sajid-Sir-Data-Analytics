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Sajid Sir Data Analytics\Excel_Practice_Files\"/>
    </mc:Choice>
  </mc:AlternateContent>
  <xr:revisionPtr revIDLastSave="0" documentId="13_ncr:1_{A23EFC82-FD56-4747-85BE-3DAC9E16C93B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Practice Date Formule" sheetId="1" r:id="rId1"/>
    <sheet name="Sheet9" sheetId="17" r:id="rId2"/>
    <sheet name="Some Advance Maths" sheetId="2" r:id="rId3"/>
    <sheet name="Sheet4" sheetId="6" r:id="rId4"/>
    <sheet name="Sheet5" sheetId="7" r:id="rId5"/>
    <sheet name="Sheet7" sheetId="9" r:id="rId6"/>
    <sheet name="Sheet1" sheetId="12" r:id="rId7"/>
    <sheet name="Scenario Summary" sheetId="16" r:id="rId8"/>
    <sheet name="Sheet3" sheetId="14" r:id="rId9"/>
    <sheet name="Sheet2" sheetId="13" r:id="rId10"/>
    <sheet name="Sheet6" sheetId="15" r:id="rId11"/>
  </sheets>
  <definedNames>
    <definedName name="_xlnm._FilterDatabase" localSheetId="9" hidden="1">Sheet2!$A$1:$I$26</definedName>
    <definedName name="ProductUnit">Sheet7!$G$7</definedName>
    <definedName name="Total_Income">Sheet7!$G$12</definedName>
    <definedName name="Total_Profit">Sheet7!$G$13</definedName>
  </definedNames>
  <calcPr calcId="191029"/>
  <pivotCaches>
    <pivotCache cacheId="4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4" l="1"/>
  <c r="D6" i="15"/>
  <c r="H66" i="12"/>
  <c r="I66" i="12"/>
  <c r="G6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" i="12"/>
  <c r="C10" i="12"/>
  <c r="C8" i="12"/>
  <c r="C9" i="12" s="1"/>
  <c r="I6" i="12" l="1"/>
  <c r="G13" i="9"/>
  <c r="G12" i="9"/>
  <c r="I22" i="6"/>
  <c r="I7" i="6" l="1"/>
  <c r="F4" i="6"/>
  <c r="C8" i="6"/>
  <c r="R12" i="2" l="1"/>
  <c r="R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292F52-B3EE-4048-9839-A765D86F6169}" keepAlive="1" name="Query - dim_states" description="Connection to the 'dim_states' query in the workbook." type="5" refreshedVersion="6" background="1">
    <dbPr connection="Provider=Microsoft.Mashup.OleDb.1;Data Source=$Workbook$;Location=dim_states;Extended Properties=&quot;&quot;" command="SELECT * FROM [dim_states]"/>
  </connection>
</connections>
</file>

<file path=xl/sharedStrings.xml><?xml version="1.0" encoding="utf-8"?>
<sst xmlns="http://schemas.openxmlformats.org/spreadsheetml/2006/main" count="559" uniqueCount="87">
  <si>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</si>
  <si>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</si>
  <si>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</si>
  <si>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</si>
  <si>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</si>
  <si>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</si>
  <si>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</si>
  <si>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</si>
  <si>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</si>
  <si>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</si>
  <si>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</si>
  <si>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</si>
  <si>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</si>
  <si>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</si>
  <si>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</si>
  <si>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</si>
  <si>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</si>
  <si>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</si>
  <si>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</si>
  <si>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</si>
  <si>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</si>
  <si>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</si>
  <si>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</si>
  <si>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</si>
  <si>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</si>
  <si>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</si>
  <si>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</si>
  <si>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</si>
  <si>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</si>
  <si>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</si>
  <si>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</si>
  <si>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</si>
  <si>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</si>
  <si>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</si>
  <si>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</si>
  <si>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</si>
  <si>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</si>
  <si>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</si>
  <si>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</si>
  <si>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</si>
  <si>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</si>
  <si>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</si>
  <si>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</si>
  <si>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</si>
  <si>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</si>
  <si>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</si>
  <si>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</si>
  <si>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</si>
  <si>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</si>
  <si>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</si>
  <si>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Sales Unit</t>
  </si>
  <si>
    <t>Unit Price</t>
  </si>
  <si>
    <t>Amount</t>
  </si>
  <si>
    <t>Product</t>
  </si>
  <si>
    <t>Per Unit Sales Price</t>
  </si>
  <si>
    <t>Profit Per Unit</t>
  </si>
  <si>
    <t>Total Sales</t>
  </si>
  <si>
    <t>Profit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</si>
  <si>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</si>
  <si>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</si>
  <si>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</si>
  <si>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</si>
  <si>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</si>
  <si>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</si>
  <si>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</si>
  <si>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Rate</t>
  </si>
  <si>
    <t>EMI/Month</t>
  </si>
  <si>
    <t>Total Amount</t>
  </si>
  <si>
    <t>Total Intrest</t>
  </si>
  <si>
    <t>Months</t>
  </si>
  <si>
    <t>Actual Value</t>
  </si>
  <si>
    <t>Interest</t>
  </si>
  <si>
    <t>Total Value</t>
  </si>
  <si>
    <t>PPMT</t>
  </si>
  <si>
    <t>IPMT</t>
  </si>
  <si>
    <t>PMT</t>
  </si>
  <si>
    <t>Quantity</t>
  </si>
  <si>
    <t>Total Price</t>
  </si>
  <si>
    <t>Chair</t>
  </si>
  <si>
    <t>Table</t>
  </si>
  <si>
    <t>AC</t>
  </si>
  <si>
    <t>Total</t>
  </si>
  <si>
    <t>$D$8</t>
  </si>
  <si>
    <t>Shop1</t>
  </si>
  <si>
    <t>Created by pc on 16-05-2026</t>
  </si>
  <si>
    <t>Shop2</t>
  </si>
  <si>
    <t>Shop3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</si>
</sst>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0" fontId="3" fillId="3" borderId="0" xfId="1" applyNumberFormat="1" applyFont="1" applyFill="1" applyBorder="1" applyAlignment="1"/>
    <xf numFmtId="43" fontId="1" fillId="3" borderId="0" xfId="2" applyNumberFormat="1" applyFont="1" applyFill="1" applyBorder="1" applyAlignment="1">
      <alignment horizontal="left" vertical="center"/>
    </xf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1" xfId="0" applyNumberFormat="1" applyFont="1" applyFill="1" applyBorder="1"/>
    <xf numFmtId="14" fontId="0" fillId="0" borderId="1" xfId="0" applyNumberFormat="1" applyFont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Fill="1" applyBorder="1" applyAlignment="1"/>
    <xf numFmtId="0" fontId="0" fillId="0" borderId="6" xfId="0" applyFill="1" applyBorder="1" applyAlignment="1"/>
    <xf numFmtId="0" fontId="0" fillId="0" borderId="8" xfId="0" applyFill="1" applyBorder="1" applyAlignment="1"/>
    <xf numFmtId="0" fontId="5" fillId="7" borderId="5" xfId="0" applyFont="1" applyFill="1" applyBorder="1" applyAlignment="1">
      <alignment horizontal="right"/>
    </xf>
    <xf numFmtId="0" fontId="5" fillId="7" borderId="7" xfId="0" applyFont="1" applyFill="1" applyBorder="1" applyAlignment="1">
      <alignment horizontal="right"/>
    </xf>
    <xf numFmtId="0" fontId="0" fillId="9" borderId="0" xfId="0" applyFill="1" applyBorder="1" applyAlignment="1"/>
    <xf numFmtId="0" fontId="6" fillId="0" borderId="0" xfId="0" applyFont="1" applyFill="1" applyBorder="1" applyAlignment="1">
      <alignment vertical="top" wrapText="1"/>
    </xf>
    <xf numFmtId="9" fontId="0" fillId="0" borderId="0" xfId="0" applyNumberFormat="1"/>
    <xf numFmtId="8" fontId="0" fillId="0" borderId="0" xfId="0" applyNumberFormat="1"/>
    <xf numFmtId="0" fontId="7" fillId="7" borderId="7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0" fontId="8" fillId="8" borderId="0" xfId="0" applyFont="1" applyFill="1" applyBorder="1" applyAlignment="1">
      <alignment horizontal="left"/>
    </xf>
    <xf numFmtId="0" fontId="9" fillId="8" borderId="8" xfId="0" applyFont="1" applyFill="1" applyBorder="1" applyAlignment="1">
      <alignment horizontal="left"/>
    </xf>
    <xf numFmtId="0" fontId="8" fillId="8" borderId="6" xfId="0" applyFont="1" applyFill="1" applyBorder="1" applyAlignment="1">
      <alignment horizontal="left"/>
    </xf>
    <xf numFmtId="0" fontId="0" fillId="0" borderId="0" xfId="0" applyAlignment="1">
      <alignment horizontal="left" indent="1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58.653440162037" createdVersion="6" refreshedVersion="6" minRefreshableVersion="3" recordCount="43" xr:uid="{BA135AF6-45A2-41F7-BE83-5C4551428E0B}">
  <cacheSource type="worksheet">
    <worksheetSource name="Table3"/>
  </cacheSource>
  <cacheFields count="9">
    <cacheField name="OrderDate" numFmtId="14">
      <sharedItems containsSemiMixedTypes="0" containsNonDate="0" containsDate="1" containsString="0" minDate="2018-01-06T00:00:00" maxDate="2019-12-22T00:00:00"/>
    </cacheField>
    <cacheField name="Region" numFmtId="0">
      <sharedItems count="3">
        <s v="East"/>
        <s v="Central"/>
        <s v="West"/>
      </sharedItems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8-01-06T00:00:00"/>
    <x v="0"/>
    <x v="0"/>
    <s v="Alexander"/>
    <s v="Television"/>
    <n v="95"/>
    <n v="1198"/>
    <n v="113810"/>
    <s v="UPI"/>
  </r>
  <r>
    <d v="2018-02-09T00:00:00"/>
    <x v="1"/>
    <x v="1"/>
    <s v="Luis"/>
    <s v="Television"/>
    <n v="36"/>
    <n v="1198"/>
    <n v="43128"/>
    <s v="DEBIT CARD"/>
  </r>
  <r>
    <d v="2018-02-26T00:00:00"/>
    <x v="1"/>
    <x v="2"/>
    <s v="David"/>
    <s v="Cell Phone"/>
    <n v="27"/>
    <n v="225"/>
    <n v="6075"/>
    <s v="NET BANKING"/>
  </r>
  <r>
    <d v="2018-03-15T00:00:00"/>
    <x v="2"/>
    <x v="2"/>
    <s v="Stephen"/>
    <s v="Television"/>
    <n v="56"/>
    <n v="1198"/>
    <n v="67088"/>
    <s v="UPI"/>
  </r>
  <r>
    <d v="2018-04-18T00:00:00"/>
    <x v="1"/>
    <x v="0"/>
    <s v="Steven"/>
    <s v="Television"/>
    <n v="75"/>
    <n v="1198"/>
    <n v="89850"/>
    <s v="DEBIT CARD"/>
  </r>
  <r>
    <d v="2018-05-05T00:00:00"/>
    <x v="1"/>
    <x v="1"/>
    <s v="Luis"/>
    <s v="Television"/>
    <n v="90"/>
    <n v="1198"/>
    <n v="107820"/>
    <s v="UPI"/>
  </r>
  <r>
    <d v="2018-09-01T00:00:00"/>
    <x v="1"/>
    <x v="3"/>
    <s v="John"/>
    <s v="Desk"/>
    <n v="2"/>
    <n v="125"/>
    <n v="250"/>
    <s v="NET BANKING"/>
  </r>
  <r>
    <d v="2019-08-24T00:00:00"/>
    <x v="2"/>
    <x v="2"/>
    <s v="Stephen"/>
    <s v="Desk"/>
    <n v="3"/>
    <n v="125"/>
    <n v="375"/>
    <s v="CASH"/>
  </r>
  <r>
    <d v="2018-01-23T00:00:00"/>
    <x v="1"/>
    <x v="1"/>
    <s v="Shelli"/>
    <s v="Home Theater"/>
    <n v="50"/>
    <n v="500"/>
    <n v="25000"/>
    <s v="CASH"/>
  </r>
  <r>
    <d v="2018-10-05T00:00:00"/>
    <x v="1"/>
    <x v="1"/>
    <s v="Sigal"/>
    <s v="Home Theater"/>
    <n v="28"/>
    <n v="500"/>
    <n v="14000"/>
    <s v="CASH"/>
  </r>
  <r>
    <d v="2019-05-31T00:00:00"/>
    <x v="1"/>
    <x v="2"/>
    <s v="David"/>
    <s v="Home Theater"/>
    <n v="80"/>
    <n v="500"/>
    <n v="40000"/>
    <s v="CASH"/>
  </r>
  <r>
    <d v="2019-12-04T00:00:00"/>
    <x v="1"/>
    <x v="1"/>
    <s v="Luis"/>
    <s v="Home Theater"/>
    <n v="94"/>
    <n v="500"/>
    <n v="47000"/>
    <s v="CASH"/>
  </r>
  <r>
    <d v="2018-05-22T00:00:00"/>
    <x v="2"/>
    <x v="3"/>
    <s v="Michael"/>
    <s v="Television"/>
    <n v="32"/>
    <n v="1198"/>
    <n v="38336"/>
    <s v="CASH"/>
  </r>
  <r>
    <d v="2018-06-25T00:00:00"/>
    <x v="1"/>
    <x v="1"/>
    <s v="Sigal"/>
    <s v="Television"/>
    <n v="90"/>
    <n v="1198"/>
    <n v="107820"/>
    <s v="CASH"/>
  </r>
  <r>
    <d v="2018-08-15T00:00:00"/>
    <x v="0"/>
    <x v="0"/>
    <s v="Alexander"/>
    <s v="Television"/>
    <n v="35"/>
    <n v="1198"/>
    <n v="41930"/>
    <s v="DEBIT CARD"/>
  </r>
  <r>
    <d v="2018-09-18T00:00:00"/>
    <x v="0"/>
    <x v="0"/>
    <s v="Alexander"/>
    <s v="Video Games"/>
    <n v="16"/>
    <n v="58.5"/>
    <n v="936"/>
    <s v="UPI"/>
  </r>
  <r>
    <d v="2018-10-22T00:00:00"/>
    <x v="0"/>
    <x v="0"/>
    <s v="Alexander"/>
    <s v="Cell Phone"/>
    <n v="64"/>
    <n v="225"/>
    <n v="14400"/>
    <s v="NET BANKING"/>
  </r>
  <r>
    <d v="2018-11-08T00:00:00"/>
    <x v="0"/>
    <x v="3"/>
    <s v="Karen"/>
    <s v="Cell Phone"/>
    <n v="15"/>
    <n v="225"/>
    <n v="3375"/>
    <s v="DEBIT CARD"/>
  </r>
  <r>
    <d v="2018-04-01T00:00:00"/>
    <x v="0"/>
    <x v="0"/>
    <s v="Alexander"/>
    <s v="Home Theater"/>
    <n v="60"/>
    <n v="500"/>
    <n v="30000"/>
    <s v="CASH"/>
  </r>
  <r>
    <d v="2019-02-18T00:00:00"/>
    <x v="0"/>
    <x v="0"/>
    <s v="Alexander"/>
    <s v="Home Theater"/>
    <n v="4"/>
    <n v="500"/>
    <n v="2000"/>
    <s v="CASH"/>
  </r>
  <r>
    <d v="2018-07-12T00:00:00"/>
    <x v="0"/>
    <x v="0"/>
    <s v="Diana"/>
    <s v="Home Theater"/>
    <n v="29"/>
    <n v="500"/>
    <n v="14500"/>
    <s v="DEBIT CARD"/>
  </r>
  <r>
    <d v="2018-07-29T00:00:00"/>
    <x v="0"/>
    <x v="3"/>
    <s v="Karen"/>
    <s v="Home Theater"/>
    <n v="81"/>
    <n v="500"/>
    <n v="40500"/>
    <s v="NET BANKING"/>
  </r>
  <r>
    <d v="2018-06-08T00:00:00"/>
    <x v="0"/>
    <x v="0"/>
    <s v="Alexander"/>
    <s v="Home Theater"/>
    <n v="60"/>
    <n v="500"/>
    <n v="30000"/>
    <s v="UPI"/>
  </r>
  <r>
    <d v="2018-11-25T00:00:00"/>
    <x v="1"/>
    <x v="1"/>
    <s v="Shelli"/>
    <s v="Video Games"/>
    <n v="96"/>
    <n v="58.5"/>
    <n v="5616"/>
    <s v="NET BANKING"/>
  </r>
  <r>
    <d v="2018-12-12T00:00:00"/>
    <x v="1"/>
    <x v="3"/>
    <s v="John"/>
    <s v="Television"/>
    <n v="67"/>
    <n v="1198"/>
    <n v="80266"/>
    <s v="DEBIT CARD"/>
  </r>
  <r>
    <d v="2018-12-29T00:00:00"/>
    <x v="0"/>
    <x v="3"/>
    <s v="Karen"/>
    <s v="Video Games"/>
    <n v="74"/>
    <n v="58.5"/>
    <n v="4329"/>
    <s v="DEBIT CARD"/>
  </r>
  <r>
    <d v="2019-01-15T00:00:00"/>
    <x v="1"/>
    <x v="2"/>
    <s v="David"/>
    <s v="Home Theater"/>
    <n v="46"/>
    <n v="500"/>
    <n v="23000"/>
    <s v="NET BANKING"/>
  </r>
  <r>
    <d v="2019-02-01T00:00:00"/>
    <x v="1"/>
    <x v="3"/>
    <s v="John"/>
    <s v="Home Theater"/>
    <n v="87"/>
    <n v="500"/>
    <n v="43500"/>
    <s v="UPI"/>
  </r>
  <r>
    <d v="2019-03-07T00:00:00"/>
    <x v="2"/>
    <x v="2"/>
    <s v="Stephen"/>
    <s v="Home Theater"/>
    <n v="7"/>
    <n v="500"/>
    <n v="3500"/>
    <s v="DEBIT CARD"/>
  </r>
  <r>
    <d v="2019-03-24T00:00:00"/>
    <x v="1"/>
    <x v="1"/>
    <s v="Luis"/>
    <s v="Video Games"/>
    <n v="50"/>
    <n v="58.5"/>
    <n v="2925"/>
    <s v="NET BANKING"/>
  </r>
  <r>
    <d v="2019-04-10T00:00:00"/>
    <x v="1"/>
    <x v="0"/>
    <s v="Steven"/>
    <s v="Television"/>
    <n v="66"/>
    <n v="1198"/>
    <n v="79068"/>
    <s v="DEBIT CARD"/>
  </r>
  <r>
    <d v="2019-04-27T00:00:00"/>
    <x v="0"/>
    <x v="0"/>
    <s v="Diana"/>
    <s v="Cell Phone"/>
    <n v="96"/>
    <n v="225"/>
    <n v="21600"/>
    <s v="CASH"/>
  </r>
  <r>
    <d v="2019-05-14T00:00:00"/>
    <x v="1"/>
    <x v="2"/>
    <s v="David"/>
    <s v="Television"/>
    <n v="53"/>
    <n v="1198"/>
    <n v="63494"/>
    <s v="UPI"/>
  </r>
  <r>
    <d v="2019-06-17T00:00:00"/>
    <x v="1"/>
    <x v="1"/>
    <s v="Shelli"/>
    <s v="Desk"/>
    <n v="5"/>
    <n v="125"/>
    <n v="625"/>
    <s v="DEBIT CARD"/>
  </r>
  <r>
    <d v="2019-07-04T00:00:00"/>
    <x v="0"/>
    <x v="0"/>
    <s v="Alexander"/>
    <s v="Video Games"/>
    <n v="62"/>
    <n v="58.5"/>
    <n v="3627"/>
    <s v="CASH"/>
  </r>
  <r>
    <d v="2019-07-21T00:00:00"/>
    <x v="1"/>
    <x v="1"/>
    <s v="Sigal"/>
    <s v="Video Games"/>
    <n v="55"/>
    <n v="58.5"/>
    <n v="3217.5"/>
    <s v="DEBIT CARD"/>
  </r>
  <r>
    <d v="2019-08-07T00:00:00"/>
    <x v="1"/>
    <x v="1"/>
    <s v="Shelli"/>
    <s v="Video Games"/>
    <n v="42"/>
    <n v="58.5"/>
    <n v="2457"/>
    <s v="NET BANKING"/>
  </r>
  <r>
    <d v="2019-09-10T00:00:00"/>
    <x v="1"/>
    <x v="2"/>
    <s v="David"/>
    <s v="Television"/>
    <n v="7"/>
    <n v="1198"/>
    <n v="8386"/>
    <s v="DEBIT CARD"/>
  </r>
  <r>
    <d v="2019-09-27T00:00:00"/>
    <x v="2"/>
    <x v="2"/>
    <s v="Stephen"/>
    <s v="Cell Phone"/>
    <n v="76"/>
    <n v="225"/>
    <n v="17100"/>
    <s v="NET BANKING"/>
  </r>
  <r>
    <d v="2019-10-14T00:00:00"/>
    <x v="2"/>
    <x v="3"/>
    <s v="Michael"/>
    <s v="Home Theater"/>
    <n v="57"/>
    <n v="500"/>
    <n v="28500"/>
    <s v="CASH"/>
  </r>
  <r>
    <d v="2019-10-31T00:00:00"/>
    <x v="1"/>
    <x v="0"/>
    <s v="Steven"/>
    <s v="Television"/>
    <n v="14"/>
    <n v="1198"/>
    <n v="16772"/>
    <s v="DEBIT CARD"/>
  </r>
  <r>
    <d v="2019-11-17T00:00:00"/>
    <x v="1"/>
    <x v="1"/>
    <s v="Luis"/>
    <s v="Home Theater"/>
    <n v="11"/>
    <n v="500"/>
    <n v="5500"/>
    <s v="DEBIT CARD"/>
  </r>
  <r>
    <d v="2019-12-21T00:00:00"/>
    <x v="1"/>
    <x v="0"/>
    <s v="Steven"/>
    <s v="Home Theater"/>
    <n v="28"/>
    <n v="500"/>
    <n v="14000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8A122-0D6E-4B82-B431-593E88EEB091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9">
    <pivotField numFmtId="14" showAll="0"/>
    <pivotField axis="axisRow" showAll="0">
      <items count="4">
        <item x="1"/>
        <item x="0"/>
        <item x="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2">
    <field x="1"/>
    <field x="2"/>
  </rowFields>
  <rowItems count="1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>
      <x v="2"/>
    </i>
    <i r="1">
      <x/>
    </i>
    <i r="1">
      <x v="3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F1610-728F-4AF1-B4EA-F8821EC7EFB4}" name="Table3" displayName="Table3" ref="A1:I44" totalsRowShown="0" headerRowDxfId="11" dataDxfId="10" tableBorderDxfId="9" headerRowCellStyle="Normal 2">
  <autoFilter ref="A1:I44" xr:uid="{CF8B11D6-8494-479D-A165-9DC6F143D77E}"/>
  <sortState ref="A2:I44">
    <sortCondition ref="A2"/>
  </sortState>
  <tableColumns count="9">
    <tableColumn id="1" xr3:uid="{3754B459-EFA0-49FE-851A-61C50716CC25}" name="OrderDate" dataDxfId="8"/>
    <tableColumn id="2" xr3:uid="{6D6A0230-10EC-4FC2-8D39-D12387BD856D}" name="Region" dataDxfId="7"/>
    <tableColumn id="3" xr3:uid="{F8C6AD3E-0955-4DCB-923C-7F3A710D19B9}" name="Manager" dataDxfId="6"/>
    <tableColumn id="4" xr3:uid="{B5074F15-7D6B-4657-9DBE-03827EC0440D}" name="SalesMan" dataDxfId="5"/>
    <tableColumn id="5" xr3:uid="{A78ED080-B9C9-4125-AAAC-8B90C74F23B2}" name="Item" dataDxfId="4"/>
    <tableColumn id="6" xr3:uid="{0A14E989-36B8-41B1-B6AF-645B7DE31340}" name="Units" dataDxfId="3"/>
    <tableColumn id="7" xr3:uid="{29355482-7D56-439A-9B33-87C67FAFCE6A}" name="Unit_price" dataDxfId="2"/>
    <tableColumn id="8" xr3:uid="{69FA73A1-FF14-470D-93B9-E1E83D4222DD}" name="Sale_amt" dataDxfId="1"/>
    <tableColumn id="9" xr3:uid="{9A3195EC-20A6-4C8F-B22C-56840AAF5A58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46158</v>
      </c>
      <c r="B2" s="5">
        <f ca="1">NOW()</f>
        <v>46158.654125462963</v>
      </c>
      <c r="C2">
        <f ca="1">YEAR(B2)</f>
        <v>2026</v>
      </c>
      <c r="D2">
        <f ca="1">MONTH(B2)</f>
        <v>5</v>
      </c>
      <c r="E2">
        <f ca="1">DAY(B2)</f>
        <v>16</v>
      </c>
      <c r="F2">
        <f ca="1">HOUR(B2)</f>
        <v>15</v>
      </c>
      <c r="G2">
        <f ca="1">MINUTE(B2)</f>
        <v>41</v>
      </c>
      <c r="H2">
        <f ca="1">SECOND(B2)</f>
        <v>56</v>
      </c>
      <c r="I2" s="5">
        <f ca="1">EDATE(A2,4)</f>
        <v>46281</v>
      </c>
    </row>
    <row r="4" spans="1:11" x14ac:dyDescent="0.3">
      <c r="I4" s="4">
        <f ca="1">EDATE(A2,3*12)</f>
        <v>47254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8527-B4CD-4B08-9F9A-3EDF51842A58}">
  <dimension ref="A3:B15"/>
  <sheetViews>
    <sheetView tabSelected="1"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2" x14ac:dyDescent="0.3">
      <c r="A3" s="17" t="s">
        <v>47</v>
      </c>
      <c r="B3" t="s">
        <v>49</v>
      </c>
    </row>
    <row r="4" spans="1:2" x14ac:dyDescent="0.3">
      <c r="A4" s="18" t="s">
        <v>20</v>
      </c>
      <c r="B4" s="19">
        <v>829769.5</v>
      </c>
    </row>
    <row r="5" spans="1:2" x14ac:dyDescent="0.3">
      <c r="A5" s="40" t="s">
        <v>31</v>
      </c>
      <c r="B5" s="19">
        <v>124016</v>
      </c>
    </row>
    <row r="6" spans="1:2" x14ac:dyDescent="0.3">
      <c r="A6" s="40" t="s">
        <v>35</v>
      </c>
      <c r="B6" s="19">
        <v>365108.5</v>
      </c>
    </row>
    <row r="7" spans="1:2" x14ac:dyDescent="0.3">
      <c r="A7" s="40" t="s">
        <v>28</v>
      </c>
      <c r="B7" s="19">
        <v>199690</v>
      </c>
    </row>
    <row r="8" spans="1:2" x14ac:dyDescent="0.3">
      <c r="A8" s="40" t="s">
        <v>21</v>
      </c>
      <c r="B8" s="19">
        <v>140955</v>
      </c>
    </row>
    <row r="9" spans="1:2" x14ac:dyDescent="0.3">
      <c r="A9" s="18" t="s">
        <v>27</v>
      </c>
      <c r="B9" s="19">
        <v>321007</v>
      </c>
    </row>
    <row r="10" spans="1:2" x14ac:dyDescent="0.3">
      <c r="A10" s="40" t="s">
        <v>31</v>
      </c>
      <c r="B10" s="19">
        <v>48204</v>
      </c>
    </row>
    <row r="11" spans="1:2" x14ac:dyDescent="0.3">
      <c r="A11" s="40" t="s">
        <v>28</v>
      </c>
      <c r="B11" s="19">
        <v>272803</v>
      </c>
    </row>
    <row r="12" spans="1:2" x14ac:dyDescent="0.3">
      <c r="A12" s="18" t="s">
        <v>25</v>
      </c>
      <c r="B12" s="19">
        <v>154899</v>
      </c>
    </row>
    <row r="13" spans="1:2" x14ac:dyDescent="0.3">
      <c r="A13" s="40" t="s">
        <v>31</v>
      </c>
      <c r="B13" s="19">
        <v>66836</v>
      </c>
    </row>
    <row r="14" spans="1:2" x14ac:dyDescent="0.3">
      <c r="A14" s="40" t="s">
        <v>21</v>
      </c>
      <c r="B14" s="19">
        <v>88063</v>
      </c>
    </row>
    <row r="15" spans="1:2" x14ac:dyDescent="0.3">
      <c r="A15" s="18" t="s">
        <v>48</v>
      </c>
      <c r="B15" s="19">
        <v>1305675.5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R44"/>
  <sheetViews>
    <sheetView zoomScale="85" zoomScaleNormal="85" workbookViewId="0">
      <selection activeCell="E18" sqref="A2:I44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3.21875" customWidth="1"/>
    <col min="8" max="8" width="11.109375" bestFit="1" customWidth="1"/>
    <col min="9" max="9" width="15.6640625" customWidth="1"/>
    <col min="10" max="10" width="7" bestFit="1" customWidth="1"/>
    <col min="11" max="11" width="7.77734375" customWidth="1"/>
    <col min="12" max="12" width="8.5546875" customWidth="1"/>
    <col min="13" max="13" width="8" customWidth="1"/>
    <col min="14" max="14" width="9.109375" customWidth="1"/>
    <col min="15" max="15" width="9.88671875" customWidth="1"/>
    <col min="18" max="18" width="14.33203125" customWidth="1"/>
  </cols>
  <sheetData>
    <row r="1" spans="1:18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7" t="s">
        <v>17</v>
      </c>
      <c r="H1" s="6" t="s">
        <v>18</v>
      </c>
      <c r="I1" s="6" t="s">
        <v>19</v>
      </c>
    </row>
    <row r="2" spans="1:18" x14ac:dyDescent="0.3">
      <c r="A2" s="14">
        <v>43106</v>
      </c>
      <c r="B2" s="3" t="s">
        <v>27</v>
      </c>
      <c r="C2" s="3" t="s">
        <v>28</v>
      </c>
      <c r="D2" s="3" t="s">
        <v>34</v>
      </c>
      <c r="E2" s="3" t="s">
        <v>45</v>
      </c>
      <c r="F2" s="3">
        <v>95</v>
      </c>
      <c r="G2" s="3">
        <v>1198</v>
      </c>
      <c r="H2" s="3">
        <v>113810</v>
      </c>
      <c r="I2" s="3" t="s">
        <v>43</v>
      </c>
    </row>
    <row r="3" spans="1:18" x14ac:dyDescent="0.3">
      <c r="A3" s="13">
        <v>43140</v>
      </c>
      <c r="B3" s="2" t="s">
        <v>20</v>
      </c>
      <c r="C3" s="2" t="s">
        <v>35</v>
      </c>
      <c r="D3" s="2" t="s">
        <v>41</v>
      </c>
      <c r="E3" s="2" t="s">
        <v>45</v>
      </c>
      <c r="F3" s="2">
        <v>36</v>
      </c>
      <c r="G3" s="2">
        <v>1198</v>
      </c>
      <c r="H3" s="2">
        <v>43128</v>
      </c>
      <c r="I3" s="2" t="s">
        <v>33</v>
      </c>
    </row>
    <row r="4" spans="1:18" x14ac:dyDescent="0.3">
      <c r="A4" s="13">
        <v>43157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27</v>
      </c>
      <c r="G4" s="2">
        <v>225</v>
      </c>
      <c r="H4" s="2">
        <v>6075</v>
      </c>
      <c r="I4" s="2" t="s">
        <v>24</v>
      </c>
    </row>
    <row r="5" spans="1:18" x14ac:dyDescent="0.3">
      <c r="A5" s="14">
        <v>43174</v>
      </c>
      <c r="B5" s="3" t="s">
        <v>25</v>
      </c>
      <c r="C5" s="3" t="s">
        <v>21</v>
      </c>
      <c r="D5" s="3" t="s">
        <v>26</v>
      </c>
      <c r="E5" s="3" t="s">
        <v>45</v>
      </c>
      <c r="F5" s="3">
        <v>56</v>
      </c>
      <c r="G5" s="3">
        <v>1198</v>
      </c>
      <c r="H5" s="3">
        <v>67088</v>
      </c>
      <c r="I5" s="3" t="s">
        <v>43</v>
      </c>
    </row>
    <row r="6" spans="1:18" x14ac:dyDescent="0.3">
      <c r="A6" s="14">
        <v>43208</v>
      </c>
      <c r="B6" s="3" t="s">
        <v>20</v>
      </c>
      <c r="C6" s="3" t="s">
        <v>28</v>
      </c>
      <c r="D6" s="3" t="s">
        <v>42</v>
      </c>
      <c r="E6" s="3" t="s">
        <v>45</v>
      </c>
      <c r="F6" s="3">
        <v>75</v>
      </c>
      <c r="G6" s="3">
        <v>1198</v>
      </c>
      <c r="H6" s="3">
        <v>89850</v>
      </c>
      <c r="I6" s="3" t="s">
        <v>33</v>
      </c>
    </row>
    <row r="7" spans="1:18" x14ac:dyDescent="0.3">
      <c r="A7" s="13">
        <v>43225</v>
      </c>
      <c r="B7" s="2" t="s">
        <v>20</v>
      </c>
      <c r="C7" s="2" t="s">
        <v>35</v>
      </c>
      <c r="D7" s="2" t="s">
        <v>41</v>
      </c>
      <c r="E7" s="2" t="s">
        <v>45</v>
      </c>
      <c r="F7" s="2">
        <v>90</v>
      </c>
      <c r="G7" s="2">
        <v>1198</v>
      </c>
      <c r="H7" s="2">
        <v>107820</v>
      </c>
      <c r="I7" s="2" t="s">
        <v>43</v>
      </c>
    </row>
    <row r="8" spans="1:18" hidden="1" x14ac:dyDescent="0.3">
      <c r="A8" s="13">
        <v>43344</v>
      </c>
      <c r="B8" s="2" t="s">
        <v>20</v>
      </c>
      <c r="C8" s="2" t="s">
        <v>31</v>
      </c>
      <c r="D8" s="2" t="s">
        <v>38</v>
      </c>
      <c r="E8" s="2" t="s">
        <v>37</v>
      </c>
      <c r="F8" s="2">
        <v>2</v>
      </c>
      <c r="G8" s="2">
        <v>125</v>
      </c>
      <c r="H8" s="2">
        <v>250</v>
      </c>
      <c r="I8" s="2" t="s">
        <v>24</v>
      </c>
    </row>
    <row r="9" spans="1:18" hidden="1" x14ac:dyDescent="0.3">
      <c r="A9" s="14">
        <v>43701</v>
      </c>
      <c r="B9" s="3" t="s">
        <v>25</v>
      </c>
      <c r="C9" s="3" t="s">
        <v>21</v>
      </c>
      <c r="D9" s="3" t="s">
        <v>26</v>
      </c>
      <c r="E9" s="3" t="s">
        <v>37</v>
      </c>
      <c r="F9" s="3">
        <v>3</v>
      </c>
      <c r="G9" s="3">
        <v>125</v>
      </c>
      <c r="H9" s="3">
        <v>375</v>
      </c>
      <c r="I9" s="3" t="s">
        <v>30</v>
      </c>
    </row>
    <row r="10" spans="1:18" hidden="1" x14ac:dyDescent="0.3">
      <c r="A10" s="13">
        <v>43123</v>
      </c>
      <c r="B10" s="2" t="s">
        <v>20</v>
      </c>
      <c r="C10" s="2" t="s">
        <v>35</v>
      </c>
      <c r="D10" s="2" t="s">
        <v>36</v>
      </c>
      <c r="E10" s="2" t="s">
        <v>39</v>
      </c>
      <c r="F10" s="2">
        <v>50</v>
      </c>
      <c r="G10" s="2">
        <v>500</v>
      </c>
      <c r="H10" s="2">
        <v>25000</v>
      </c>
      <c r="I10" s="2" t="s">
        <v>30</v>
      </c>
      <c r="R10">
        <f>SUMIF('Some Advance Maths'!$B$2:$B$44,"Central",'Some Advance Maths'!$H$2:$H$44)</f>
        <v>829769.5</v>
      </c>
    </row>
    <row r="11" spans="1:18" hidden="1" x14ac:dyDescent="0.3">
      <c r="A11" s="14">
        <v>43378</v>
      </c>
      <c r="B11" s="3" t="s">
        <v>20</v>
      </c>
      <c r="C11" s="3" t="s">
        <v>35</v>
      </c>
      <c r="D11" s="3" t="s">
        <v>40</v>
      </c>
      <c r="E11" s="3" t="s">
        <v>39</v>
      </c>
      <c r="F11" s="3">
        <v>28</v>
      </c>
      <c r="G11" s="3">
        <v>500</v>
      </c>
      <c r="H11" s="3">
        <v>14000</v>
      </c>
      <c r="I11" s="3" t="s">
        <v>30</v>
      </c>
    </row>
    <row r="12" spans="1:18" hidden="1" x14ac:dyDescent="0.3">
      <c r="A12" s="13">
        <v>43616</v>
      </c>
      <c r="B12" s="2" t="s">
        <v>20</v>
      </c>
      <c r="C12" s="2" t="s">
        <v>21</v>
      </c>
      <c r="D12" s="2" t="s">
        <v>22</v>
      </c>
      <c r="E12" s="2" t="s">
        <v>39</v>
      </c>
      <c r="F12" s="2">
        <v>80</v>
      </c>
      <c r="G12" s="2">
        <v>500</v>
      </c>
      <c r="H12" s="2">
        <v>40000</v>
      </c>
      <c r="I12" s="2" t="s">
        <v>30</v>
      </c>
      <c r="R12">
        <f>SUMIFS('Some Advance Maths'!$H$2:$H$44,'Some Advance Maths'!$B$2:$B$44,"Central",'Some Advance Maths'!$I$2:$I$44,"CASH")</f>
        <v>233820</v>
      </c>
    </row>
    <row r="13" spans="1:18" hidden="1" x14ac:dyDescent="0.3">
      <c r="A13" s="14">
        <v>43803</v>
      </c>
      <c r="B13" s="3" t="s">
        <v>20</v>
      </c>
      <c r="C13" s="3" t="s">
        <v>35</v>
      </c>
      <c r="D13" s="3" t="s">
        <v>41</v>
      </c>
      <c r="E13" s="3" t="s">
        <v>39</v>
      </c>
      <c r="F13" s="3">
        <v>94</v>
      </c>
      <c r="G13" s="3">
        <v>500</v>
      </c>
      <c r="H13" s="3">
        <v>47000</v>
      </c>
      <c r="I13" s="3" t="s">
        <v>30</v>
      </c>
    </row>
    <row r="14" spans="1:18" x14ac:dyDescent="0.3">
      <c r="A14" s="13">
        <v>43242</v>
      </c>
      <c r="B14" s="2" t="s">
        <v>25</v>
      </c>
      <c r="C14" s="2" t="s">
        <v>31</v>
      </c>
      <c r="D14" s="2" t="s">
        <v>44</v>
      </c>
      <c r="E14" s="2" t="s">
        <v>45</v>
      </c>
      <c r="F14" s="2">
        <v>32</v>
      </c>
      <c r="G14" s="2">
        <v>1198</v>
      </c>
      <c r="H14" s="2">
        <v>38336</v>
      </c>
      <c r="I14" s="2" t="s">
        <v>30</v>
      </c>
    </row>
    <row r="15" spans="1:18" collapsed="1" x14ac:dyDescent="0.3">
      <c r="A15" s="14">
        <v>43276</v>
      </c>
      <c r="B15" s="3" t="s">
        <v>20</v>
      </c>
      <c r="C15" s="3" t="s">
        <v>35</v>
      </c>
      <c r="D15" s="3" t="s">
        <v>40</v>
      </c>
      <c r="E15" s="3" t="s">
        <v>45</v>
      </c>
      <c r="F15" s="3">
        <v>90</v>
      </c>
      <c r="G15" s="3">
        <v>1198</v>
      </c>
      <c r="H15" s="3">
        <v>107820</v>
      </c>
      <c r="I15" s="3" t="s">
        <v>30</v>
      </c>
    </row>
    <row r="16" spans="1:18" x14ac:dyDescent="0.3">
      <c r="A16" s="13">
        <v>43327</v>
      </c>
      <c r="B16" s="2" t="s">
        <v>27</v>
      </c>
      <c r="C16" s="2" t="s">
        <v>28</v>
      </c>
      <c r="D16" s="2" t="s">
        <v>34</v>
      </c>
      <c r="E16" s="2" t="s">
        <v>45</v>
      </c>
      <c r="F16" s="2">
        <v>35</v>
      </c>
      <c r="G16" s="2">
        <v>1198</v>
      </c>
      <c r="H16" s="2">
        <v>41930</v>
      </c>
      <c r="I16" s="2" t="s">
        <v>33</v>
      </c>
    </row>
    <row r="17" spans="1:9" x14ac:dyDescent="0.3">
      <c r="A17" s="13">
        <v>43361</v>
      </c>
      <c r="B17" s="2" t="s">
        <v>27</v>
      </c>
      <c r="C17" s="2" t="s">
        <v>28</v>
      </c>
      <c r="D17" s="2" t="s">
        <v>34</v>
      </c>
      <c r="E17" s="2" t="s">
        <v>46</v>
      </c>
      <c r="F17" s="2">
        <v>16</v>
      </c>
      <c r="G17" s="2">
        <v>58.5</v>
      </c>
      <c r="H17" s="2">
        <v>936</v>
      </c>
      <c r="I17" s="2" t="s">
        <v>43</v>
      </c>
    </row>
    <row r="18" spans="1:9" x14ac:dyDescent="0.3">
      <c r="A18" s="13">
        <v>43395</v>
      </c>
      <c r="B18" s="2" t="s">
        <v>27</v>
      </c>
      <c r="C18" s="2" t="s">
        <v>28</v>
      </c>
      <c r="D18" s="2" t="s">
        <v>34</v>
      </c>
      <c r="E18" s="2" t="s">
        <v>23</v>
      </c>
      <c r="F18" s="2">
        <v>64</v>
      </c>
      <c r="G18" s="2">
        <v>225</v>
      </c>
      <c r="H18" s="2">
        <v>14400</v>
      </c>
      <c r="I18" s="2" t="s">
        <v>24</v>
      </c>
    </row>
    <row r="19" spans="1:9" x14ac:dyDescent="0.3">
      <c r="A19" s="14">
        <v>43412</v>
      </c>
      <c r="B19" s="3" t="s">
        <v>27</v>
      </c>
      <c r="C19" s="3" t="s">
        <v>31</v>
      </c>
      <c r="D19" s="3" t="s">
        <v>32</v>
      </c>
      <c r="E19" s="3" t="s">
        <v>23</v>
      </c>
      <c r="F19" s="3">
        <v>15</v>
      </c>
      <c r="G19" s="3">
        <v>225</v>
      </c>
      <c r="H19" s="3">
        <v>3375</v>
      </c>
      <c r="I19" s="3" t="s">
        <v>33</v>
      </c>
    </row>
    <row r="20" spans="1:9" hidden="1" x14ac:dyDescent="0.3">
      <c r="A20" s="13">
        <v>43191</v>
      </c>
      <c r="B20" s="2" t="s">
        <v>27</v>
      </c>
      <c r="C20" s="2" t="s">
        <v>28</v>
      </c>
      <c r="D20" s="2" t="s">
        <v>34</v>
      </c>
      <c r="E20" s="2" t="s">
        <v>39</v>
      </c>
      <c r="F20" s="2">
        <v>60</v>
      </c>
      <c r="G20" s="2">
        <v>500</v>
      </c>
      <c r="H20" s="2">
        <v>30000</v>
      </c>
      <c r="I20" s="2" t="s">
        <v>30</v>
      </c>
    </row>
    <row r="21" spans="1:9" hidden="1" x14ac:dyDescent="0.3">
      <c r="A21" s="14">
        <v>43514</v>
      </c>
      <c r="B21" s="3" t="s">
        <v>27</v>
      </c>
      <c r="C21" s="3" t="s">
        <v>28</v>
      </c>
      <c r="D21" s="3" t="s">
        <v>34</v>
      </c>
      <c r="E21" s="3" t="s">
        <v>39</v>
      </c>
      <c r="F21" s="3">
        <v>4</v>
      </c>
      <c r="G21" s="3">
        <v>500</v>
      </c>
      <c r="H21" s="3">
        <v>2000</v>
      </c>
      <c r="I21" s="3" t="s">
        <v>30</v>
      </c>
    </row>
    <row r="22" spans="1:9" hidden="1" x14ac:dyDescent="0.3">
      <c r="A22" s="13">
        <v>43293</v>
      </c>
      <c r="B22" s="2" t="s">
        <v>27</v>
      </c>
      <c r="C22" s="2" t="s">
        <v>28</v>
      </c>
      <c r="D22" s="2" t="s">
        <v>29</v>
      </c>
      <c r="E22" s="2" t="s">
        <v>39</v>
      </c>
      <c r="F22" s="2">
        <v>29</v>
      </c>
      <c r="G22" s="2">
        <v>500</v>
      </c>
      <c r="H22" s="2">
        <v>14500</v>
      </c>
      <c r="I22" s="2" t="s">
        <v>33</v>
      </c>
    </row>
    <row r="23" spans="1:9" hidden="1" x14ac:dyDescent="0.3">
      <c r="A23" s="14">
        <v>43310</v>
      </c>
      <c r="B23" s="3" t="s">
        <v>27</v>
      </c>
      <c r="C23" s="3" t="s">
        <v>31</v>
      </c>
      <c r="D23" s="3" t="s">
        <v>32</v>
      </c>
      <c r="E23" s="3" t="s">
        <v>39</v>
      </c>
      <c r="F23" s="3">
        <v>81</v>
      </c>
      <c r="G23" s="3">
        <v>500</v>
      </c>
      <c r="H23" s="3">
        <v>40500</v>
      </c>
      <c r="I23" s="3" t="s">
        <v>24</v>
      </c>
    </row>
    <row r="24" spans="1:9" hidden="1" x14ac:dyDescent="0.3">
      <c r="A24" s="13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  <row r="25" spans="1:9" collapsed="1" x14ac:dyDescent="0.3">
      <c r="A25" s="14">
        <v>43429</v>
      </c>
      <c r="B25" s="3" t="s">
        <v>20</v>
      </c>
      <c r="C25" s="3" t="s">
        <v>35</v>
      </c>
      <c r="D25" s="3" t="s">
        <v>36</v>
      </c>
      <c r="E25" s="3" t="s">
        <v>46</v>
      </c>
      <c r="F25" s="3">
        <v>96</v>
      </c>
      <c r="G25" s="3">
        <v>58.5</v>
      </c>
      <c r="H25" s="3">
        <v>5616</v>
      </c>
      <c r="I25" s="3" t="s">
        <v>24</v>
      </c>
    </row>
    <row r="26" spans="1:9" x14ac:dyDescent="0.3">
      <c r="A26" s="13">
        <v>43446</v>
      </c>
      <c r="B26" s="2" t="s">
        <v>20</v>
      </c>
      <c r="C26" s="2" t="s">
        <v>31</v>
      </c>
      <c r="D26" s="2" t="s">
        <v>38</v>
      </c>
      <c r="E26" s="2" t="s">
        <v>45</v>
      </c>
      <c r="F26" s="2">
        <v>67</v>
      </c>
      <c r="G26" s="2">
        <v>1198</v>
      </c>
      <c r="H26" s="2">
        <v>80266</v>
      </c>
      <c r="I26" s="2" t="s">
        <v>33</v>
      </c>
    </row>
    <row r="27" spans="1:9" x14ac:dyDescent="0.3">
      <c r="A27" s="14">
        <v>43463</v>
      </c>
      <c r="B27" s="3" t="s">
        <v>27</v>
      </c>
      <c r="C27" s="3" t="s">
        <v>31</v>
      </c>
      <c r="D27" s="3" t="s">
        <v>32</v>
      </c>
      <c r="E27" s="3" t="s">
        <v>46</v>
      </c>
      <c r="F27" s="3">
        <v>74</v>
      </c>
      <c r="G27" s="3">
        <v>58.5</v>
      </c>
      <c r="H27" s="3">
        <v>4329</v>
      </c>
      <c r="I27" s="3" t="s">
        <v>33</v>
      </c>
    </row>
    <row r="28" spans="1:9" x14ac:dyDescent="0.3">
      <c r="A28" s="13">
        <v>43480</v>
      </c>
      <c r="B28" s="2" t="s">
        <v>20</v>
      </c>
      <c r="C28" s="2" t="s">
        <v>21</v>
      </c>
      <c r="D28" s="2" t="s">
        <v>22</v>
      </c>
      <c r="E28" s="2" t="s">
        <v>39</v>
      </c>
      <c r="F28" s="2">
        <v>46</v>
      </c>
      <c r="G28" s="2">
        <v>500</v>
      </c>
      <c r="H28" s="2">
        <v>23000</v>
      </c>
      <c r="I28" s="2" t="s">
        <v>24</v>
      </c>
    </row>
    <row r="29" spans="1:9" x14ac:dyDescent="0.3">
      <c r="A29" s="14">
        <v>43497</v>
      </c>
      <c r="B29" s="3" t="s">
        <v>20</v>
      </c>
      <c r="C29" s="3" t="s">
        <v>31</v>
      </c>
      <c r="D29" s="3" t="s">
        <v>38</v>
      </c>
      <c r="E29" s="3" t="s">
        <v>39</v>
      </c>
      <c r="F29" s="3">
        <v>87</v>
      </c>
      <c r="G29" s="3">
        <v>500</v>
      </c>
      <c r="H29" s="3">
        <v>43500</v>
      </c>
      <c r="I29" s="3" t="s">
        <v>43</v>
      </c>
    </row>
    <row r="30" spans="1:9" x14ac:dyDescent="0.3">
      <c r="A30" s="14">
        <v>43531</v>
      </c>
      <c r="B30" s="3" t="s">
        <v>25</v>
      </c>
      <c r="C30" s="3" t="s">
        <v>21</v>
      </c>
      <c r="D30" s="3" t="s">
        <v>26</v>
      </c>
      <c r="E30" s="3" t="s">
        <v>39</v>
      </c>
      <c r="F30" s="3">
        <v>7</v>
      </c>
      <c r="G30" s="3">
        <v>500</v>
      </c>
      <c r="H30" s="3">
        <v>3500</v>
      </c>
      <c r="I30" s="3" t="s">
        <v>33</v>
      </c>
    </row>
    <row r="31" spans="1:9" x14ac:dyDescent="0.3">
      <c r="A31" s="13">
        <v>43548</v>
      </c>
      <c r="B31" s="2" t="s">
        <v>20</v>
      </c>
      <c r="C31" s="2" t="s">
        <v>35</v>
      </c>
      <c r="D31" s="2" t="s">
        <v>41</v>
      </c>
      <c r="E31" s="2" t="s">
        <v>46</v>
      </c>
      <c r="F31" s="2">
        <v>50</v>
      </c>
      <c r="G31" s="2">
        <v>58.5</v>
      </c>
      <c r="H31" s="2">
        <v>2925</v>
      </c>
      <c r="I31" s="2" t="s">
        <v>24</v>
      </c>
    </row>
    <row r="32" spans="1:9" x14ac:dyDescent="0.3">
      <c r="A32" s="14">
        <v>43565</v>
      </c>
      <c r="B32" s="3" t="s">
        <v>20</v>
      </c>
      <c r="C32" s="3" t="s">
        <v>28</v>
      </c>
      <c r="D32" s="3" t="s">
        <v>42</v>
      </c>
      <c r="E32" s="3" t="s">
        <v>45</v>
      </c>
      <c r="F32" s="3">
        <v>66</v>
      </c>
      <c r="G32" s="3">
        <v>1198</v>
      </c>
      <c r="H32" s="3">
        <v>79068</v>
      </c>
      <c r="I32" s="3" t="s">
        <v>33</v>
      </c>
    </row>
    <row r="33" spans="1:9" x14ac:dyDescent="0.3">
      <c r="A33" s="13">
        <v>43582</v>
      </c>
      <c r="B33" s="2" t="s">
        <v>27</v>
      </c>
      <c r="C33" s="2" t="s">
        <v>28</v>
      </c>
      <c r="D33" s="2" t="s">
        <v>29</v>
      </c>
      <c r="E33" s="2" t="s">
        <v>23</v>
      </c>
      <c r="F33" s="2">
        <v>96</v>
      </c>
      <c r="G33" s="2">
        <v>225</v>
      </c>
      <c r="H33" s="2">
        <v>21600</v>
      </c>
      <c r="I33" s="2" t="s">
        <v>30</v>
      </c>
    </row>
    <row r="34" spans="1:9" x14ac:dyDescent="0.3">
      <c r="A34" s="14">
        <v>43599</v>
      </c>
      <c r="B34" s="3" t="s">
        <v>20</v>
      </c>
      <c r="C34" s="3" t="s">
        <v>21</v>
      </c>
      <c r="D34" s="3" t="s">
        <v>22</v>
      </c>
      <c r="E34" s="3" t="s">
        <v>45</v>
      </c>
      <c r="F34" s="3">
        <v>53</v>
      </c>
      <c r="G34" s="3">
        <v>1198</v>
      </c>
      <c r="H34" s="3">
        <v>63494</v>
      </c>
      <c r="I34" s="3" t="s">
        <v>43</v>
      </c>
    </row>
    <row r="35" spans="1:9" x14ac:dyDescent="0.3">
      <c r="A35" s="14">
        <v>43633</v>
      </c>
      <c r="B35" s="3" t="s">
        <v>20</v>
      </c>
      <c r="C35" s="3" t="s">
        <v>35</v>
      </c>
      <c r="D35" s="3" t="s">
        <v>36</v>
      </c>
      <c r="E35" s="3" t="s">
        <v>37</v>
      </c>
      <c r="F35" s="3">
        <v>5</v>
      </c>
      <c r="G35" s="3">
        <v>125</v>
      </c>
      <c r="H35" s="3">
        <v>625</v>
      </c>
      <c r="I35" s="3" t="s">
        <v>33</v>
      </c>
    </row>
    <row r="36" spans="1:9" x14ac:dyDescent="0.3">
      <c r="A36" s="13">
        <v>43650</v>
      </c>
      <c r="B36" s="2" t="s">
        <v>27</v>
      </c>
      <c r="C36" s="2" t="s">
        <v>28</v>
      </c>
      <c r="D36" s="2" t="s">
        <v>34</v>
      </c>
      <c r="E36" s="2" t="s">
        <v>46</v>
      </c>
      <c r="F36" s="2">
        <v>62</v>
      </c>
      <c r="G36" s="2">
        <v>58.5</v>
      </c>
      <c r="H36" s="2">
        <v>3627</v>
      </c>
      <c r="I36" s="2" t="s">
        <v>30</v>
      </c>
    </row>
    <row r="37" spans="1:9" x14ac:dyDescent="0.3">
      <c r="A37" s="13">
        <v>43667</v>
      </c>
      <c r="B37" s="2" t="s">
        <v>20</v>
      </c>
      <c r="C37" s="2" t="s">
        <v>35</v>
      </c>
      <c r="D37" s="2" t="s">
        <v>40</v>
      </c>
      <c r="E37" s="2" t="s">
        <v>46</v>
      </c>
      <c r="F37" s="2">
        <v>55</v>
      </c>
      <c r="G37" s="2">
        <v>58.5</v>
      </c>
      <c r="H37" s="2">
        <v>3217.5</v>
      </c>
      <c r="I37" s="2" t="s">
        <v>33</v>
      </c>
    </row>
    <row r="38" spans="1:9" x14ac:dyDescent="0.3">
      <c r="A38" s="14">
        <v>43684</v>
      </c>
      <c r="B38" s="3" t="s">
        <v>20</v>
      </c>
      <c r="C38" s="3" t="s">
        <v>35</v>
      </c>
      <c r="D38" s="3" t="s">
        <v>36</v>
      </c>
      <c r="E38" s="3" t="s">
        <v>46</v>
      </c>
      <c r="F38" s="3">
        <v>42</v>
      </c>
      <c r="G38" s="3">
        <v>58.5</v>
      </c>
      <c r="H38" s="3">
        <v>2457</v>
      </c>
      <c r="I38" s="3" t="s">
        <v>24</v>
      </c>
    </row>
    <row r="39" spans="1:9" x14ac:dyDescent="0.3">
      <c r="A39" s="13">
        <v>43718</v>
      </c>
      <c r="B39" s="2" t="s">
        <v>20</v>
      </c>
      <c r="C39" s="2" t="s">
        <v>21</v>
      </c>
      <c r="D39" s="2" t="s">
        <v>22</v>
      </c>
      <c r="E39" s="2" t="s">
        <v>45</v>
      </c>
      <c r="F39" s="2">
        <v>7</v>
      </c>
      <c r="G39" s="2">
        <v>1198</v>
      </c>
      <c r="H39" s="2">
        <v>8386</v>
      </c>
      <c r="I39" s="2" t="s">
        <v>33</v>
      </c>
    </row>
    <row r="40" spans="1:9" x14ac:dyDescent="0.3">
      <c r="A40" s="14">
        <v>43735</v>
      </c>
      <c r="B40" s="3" t="s">
        <v>25</v>
      </c>
      <c r="C40" s="3" t="s">
        <v>21</v>
      </c>
      <c r="D40" s="3" t="s">
        <v>26</v>
      </c>
      <c r="E40" s="3" t="s">
        <v>23</v>
      </c>
      <c r="F40" s="3">
        <v>76</v>
      </c>
      <c r="G40" s="3">
        <v>225</v>
      </c>
      <c r="H40" s="3">
        <v>17100</v>
      </c>
      <c r="I40" s="3" t="s">
        <v>24</v>
      </c>
    </row>
    <row r="41" spans="1:9" x14ac:dyDescent="0.3">
      <c r="A41" s="13">
        <v>43752</v>
      </c>
      <c r="B41" s="2" t="s">
        <v>25</v>
      </c>
      <c r="C41" s="2" t="s">
        <v>31</v>
      </c>
      <c r="D41" s="2" t="s">
        <v>44</v>
      </c>
      <c r="E41" s="2" t="s">
        <v>39</v>
      </c>
      <c r="F41" s="2">
        <v>57</v>
      </c>
      <c r="G41" s="2">
        <v>500</v>
      </c>
      <c r="H41" s="2">
        <v>28500</v>
      </c>
      <c r="I41" s="2" t="s">
        <v>30</v>
      </c>
    </row>
    <row r="42" spans="1:9" x14ac:dyDescent="0.3">
      <c r="A42" s="14">
        <v>43769</v>
      </c>
      <c r="B42" s="3" t="s">
        <v>20</v>
      </c>
      <c r="C42" s="3" t="s">
        <v>28</v>
      </c>
      <c r="D42" s="3" t="s">
        <v>42</v>
      </c>
      <c r="E42" s="3" t="s">
        <v>45</v>
      </c>
      <c r="F42" s="3">
        <v>14</v>
      </c>
      <c r="G42" s="3">
        <v>1198</v>
      </c>
      <c r="H42" s="3">
        <v>16772</v>
      </c>
      <c r="I42" s="3" t="s">
        <v>33</v>
      </c>
    </row>
    <row r="43" spans="1:9" x14ac:dyDescent="0.3">
      <c r="A43" s="13">
        <v>43786</v>
      </c>
      <c r="B43" s="2" t="s">
        <v>20</v>
      </c>
      <c r="C43" s="2" t="s">
        <v>35</v>
      </c>
      <c r="D43" s="2" t="s">
        <v>41</v>
      </c>
      <c r="E43" s="2" t="s">
        <v>39</v>
      </c>
      <c r="F43" s="2">
        <v>11</v>
      </c>
      <c r="G43" s="2">
        <v>500</v>
      </c>
      <c r="H43" s="2">
        <v>5500</v>
      </c>
      <c r="I43" s="2" t="s">
        <v>33</v>
      </c>
    </row>
    <row r="44" spans="1:9" x14ac:dyDescent="0.3">
      <c r="A44" s="14">
        <v>43820</v>
      </c>
      <c r="B44" s="3" t="s">
        <v>20</v>
      </c>
      <c r="C44" s="3" t="s">
        <v>28</v>
      </c>
      <c r="D44" s="3" t="s">
        <v>42</v>
      </c>
      <c r="E44" s="3" t="s">
        <v>39</v>
      </c>
      <c r="F44" s="3">
        <v>28</v>
      </c>
      <c r="G44" s="3">
        <v>500</v>
      </c>
      <c r="H44" s="3">
        <v>14000</v>
      </c>
      <c r="I44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33"/>
  <sheetViews>
    <sheetView zoomScale="115" zoomScaleNormal="115" workbookViewId="0">
      <selection activeCell="I10" sqref="I10"/>
    </sheetView>
  </sheetViews>
  <sheetFormatPr defaultRowHeight="14.4" x14ac:dyDescent="0.3"/>
  <sheetData>
    <row r="4" spans="2:17" x14ac:dyDescent="0.3">
      <c r="B4" t="s">
        <v>50</v>
      </c>
      <c r="C4">
        <v>500</v>
      </c>
      <c r="F4">
        <f>C4*C5*C6</f>
        <v>50000</v>
      </c>
    </row>
    <row r="5" spans="2:17" x14ac:dyDescent="0.3">
      <c r="B5" t="s">
        <v>51</v>
      </c>
      <c r="C5">
        <v>100</v>
      </c>
      <c r="E5">
        <v>500</v>
      </c>
      <c r="F5">
        <f t="dataTable" ref="F5:F18" dt2D="0" dtr="0" r1="C4" ca="1"/>
        <v>50000</v>
      </c>
    </row>
    <row r="6" spans="2:17" x14ac:dyDescent="0.3">
      <c r="B6" t="s">
        <v>3</v>
      </c>
      <c r="C6">
        <v>1</v>
      </c>
      <c r="E6">
        <v>600</v>
      </c>
      <c r="F6">
        <v>60000</v>
      </c>
    </row>
    <row r="7" spans="2:17" x14ac:dyDescent="0.3">
      <c r="E7">
        <v>700</v>
      </c>
      <c r="F7">
        <v>70000</v>
      </c>
      <c r="I7">
        <f>C4*C5*C6</f>
        <v>50000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t="s">
        <v>52</v>
      </c>
      <c r="C8">
        <f>C4*C5*C6</f>
        <v>50000</v>
      </c>
      <c r="E8">
        <v>800</v>
      </c>
      <c r="F8">
        <v>80000</v>
      </c>
      <c r="I8">
        <v>500</v>
      </c>
      <c r="J8">
        <f t="dataTable" ref="J8:Q19" dt2D="1" dtr="1" r1="C6" r2="C4"/>
        <v>50000</v>
      </c>
      <c r="K8">
        <v>100000</v>
      </c>
      <c r="L8">
        <v>150000</v>
      </c>
      <c r="M8">
        <v>200000</v>
      </c>
      <c r="N8">
        <v>250000</v>
      </c>
      <c r="O8">
        <v>300000</v>
      </c>
      <c r="P8">
        <v>350000</v>
      </c>
      <c r="Q8">
        <v>400000</v>
      </c>
    </row>
    <row r="9" spans="2:17" x14ac:dyDescent="0.3">
      <c r="E9">
        <v>900</v>
      </c>
      <c r="F9">
        <v>90000</v>
      </c>
      <c r="I9">
        <v>600</v>
      </c>
      <c r="J9">
        <v>60000</v>
      </c>
      <c r="K9">
        <v>120000</v>
      </c>
      <c r="L9">
        <v>180000</v>
      </c>
      <c r="M9">
        <v>240000</v>
      </c>
      <c r="N9">
        <v>300000</v>
      </c>
      <c r="O9">
        <v>360000</v>
      </c>
      <c r="P9">
        <v>420000</v>
      </c>
      <c r="Q9">
        <v>480000</v>
      </c>
    </row>
    <row r="10" spans="2:17" x14ac:dyDescent="0.3">
      <c r="E10">
        <v>1000</v>
      </c>
      <c r="F10">
        <v>100000</v>
      </c>
      <c r="I10">
        <v>700</v>
      </c>
      <c r="J10">
        <v>70000</v>
      </c>
      <c r="K10">
        <v>140000</v>
      </c>
      <c r="L10">
        <v>210000</v>
      </c>
      <c r="M10">
        <v>280000</v>
      </c>
      <c r="N10">
        <v>350000</v>
      </c>
      <c r="O10">
        <v>420000</v>
      </c>
      <c r="P10">
        <v>490000</v>
      </c>
      <c r="Q10">
        <v>560000</v>
      </c>
    </row>
    <row r="11" spans="2:17" x14ac:dyDescent="0.3">
      <c r="E11">
        <v>1100</v>
      </c>
      <c r="F11">
        <v>110000</v>
      </c>
      <c r="I11">
        <v>800</v>
      </c>
      <c r="J11">
        <v>80000</v>
      </c>
      <c r="K11">
        <v>160000</v>
      </c>
      <c r="L11">
        <v>240000</v>
      </c>
      <c r="M11">
        <v>320000</v>
      </c>
      <c r="N11">
        <v>400000</v>
      </c>
      <c r="O11">
        <v>480000</v>
      </c>
      <c r="P11">
        <v>560000</v>
      </c>
      <c r="Q11">
        <v>640000</v>
      </c>
    </row>
    <row r="12" spans="2:17" x14ac:dyDescent="0.3">
      <c r="E12">
        <v>1200</v>
      </c>
      <c r="F12">
        <v>120000</v>
      </c>
      <c r="I12">
        <v>900</v>
      </c>
      <c r="J12">
        <v>90000</v>
      </c>
      <c r="K12">
        <v>180000</v>
      </c>
      <c r="L12">
        <v>270000</v>
      </c>
      <c r="M12">
        <v>360000</v>
      </c>
      <c r="N12">
        <v>450000</v>
      </c>
      <c r="O12">
        <v>540000</v>
      </c>
      <c r="P12">
        <v>630000</v>
      </c>
      <c r="Q12">
        <v>720000</v>
      </c>
    </row>
    <row r="13" spans="2:17" x14ac:dyDescent="0.3">
      <c r="E13">
        <v>1300</v>
      </c>
      <c r="F13">
        <v>130000</v>
      </c>
      <c r="I13">
        <v>1000</v>
      </c>
      <c r="J13">
        <v>100000</v>
      </c>
      <c r="K13">
        <v>200000</v>
      </c>
      <c r="L13">
        <v>300000</v>
      </c>
      <c r="M13">
        <v>400000</v>
      </c>
      <c r="N13">
        <v>500000</v>
      </c>
      <c r="O13">
        <v>600000</v>
      </c>
      <c r="P13">
        <v>700000</v>
      </c>
      <c r="Q13">
        <v>800000</v>
      </c>
    </row>
    <row r="14" spans="2:17" x14ac:dyDescent="0.3">
      <c r="E14">
        <v>1400</v>
      </c>
      <c r="F14">
        <v>140000</v>
      </c>
      <c r="I14">
        <v>1100</v>
      </c>
      <c r="J14">
        <v>110000</v>
      </c>
      <c r="K14">
        <v>220000</v>
      </c>
      <c r="L14">
        <v>330000</v>
      </c>
      <c r="M14">
        <v>440000</v>
      </c>
      <c r="N14">
        <v>550000</v>
      </c>
      <c r="O14">
        <v>660000</v>
      </c>
      <c r="P14">
        <v>770000</v>
      </c>
      <c r="Q14">
        <v>880000</v>
      </c>
    </row>
    <row r="15" spans="2:17" x14ac:dyDescent="0.3">
      <c r="E15">
        <v>1500</v>
      </c>
      <c r="F15">
        <v>150000</v>
      </c>
      <c r="I15">
        <v>1200</v>
      </c>
      <c r="J15">
        <v>120000</v>
      </c>
      <c r="K15">
        <v>240000</v>
      </c>
      <c r="L15">
        <v>360000</v>
      </c>
      <c r="M15">
        <v>480000</v>
      </c>
      <c r="N15">
        <v>600000</v>
      </c>
      <c r="O15">
        <v>720000</v>
      </c>
      <c r="P15">
        <v>840000</v>
      </c>
      <c r="Q15">
        <v>960000</v>
      </c>
    </row>
    <row r="16" spans="2:17" x14ac:dyDescent="0.3">
      <c r="E16">
        <v>1600</v>
      </c>
      <c r="F16">
        <v>160000</v>
      </c>
      <c r="I16">
        <v>1300</v>
      </c>
      <c r="J16">
        <v>130000</v>
      </c>
      <c r="K16">
        <v>260000</v>
      </c>
      <c r="L16">
        <v>390000</v>
      </c>
      <c r="M16">
        <v>520000</v>
      </c>
      <c r="N16">
        <v>650000</v>
      </c>
      <c r="O16">
        <v>780000</v>
      </c>
      <c r="P16">
        <v>910000</v>
      </c>
      <c r="Q16">
        <v>1040000</v>
      </c>
    </row>
    <row r="17" spans="5:17" x14ac:dyDescent="0.3">
      <c r="E17">
        <v>1700</v>
      </c>
      <c r="F17">
        <v>170000</v>
      </c>
      <c r="I17">
        <v>1400</v>
      </c>
      <c r="J17">
        <v>140000</v>
      </c>
      <c r="K17">
        <v>280000</v>
      </c>
      <c r="L17">
        <v>420000</v>
      </c>
      <c r="M17">
        <v>560000</v>
      </c>
      <c r="N17">
        <v>700000</v>
      </c>
      <c r="O17">
        <v>840000</v>
      </c>
      <c r="P17">
        <v>980000</v>
      </c>
      <c r="Q17">
        <v>1120000</v>
      </c>
    </row>
    <row r="18" spans="5:17" x14ac:dyDescent="0.3">
      <c r="E18">
        <v>1800</v>
      </c>
      <c r="F18">
        <v>180000</v>
      </c>
      <c r="I18">
        <v>1500</v>
      </c>
      <c r="J18">
        <v>150000</v>
      </c>
      <c r="K18">
        <v>300000</v>
      </c>
      <c r="L18">
        <v>450000</v>
      </c>
      <c r="M18">
        <v>600000</v>
      </c>
      <c r="N18">
        <v>750000</v>
      </c>
      <c r="O18">
        <v>900000</v>
      </c>
      <c r="P18">
        <v>1050000</v>
      </c>
      <c r="Q18">
        <v>1200000</v>
      </c>
    </row>
    <row r="19" spans="5:17" x14ac:dyDescent="0.3">
      <c r="I19">
        <v>1600</v>
      </c>
      <c r="J19">
        <v>160000</v>
      </c>
      <c r="K19">
        <v>320000</v>
      </c>
      <c r="L19">
        <v>480000</v>
      </c>
      <c r="M19">
        <v>640000</v>
      </c>
      <c r="N19">
        <v>800000</v>
      </c>
      <c r="O19">
        <v>960000</v>
      </c>
      <c r="P19">
        <v>1120000</v>
      </c>
      <c r="Q19">
        <v>1280000</v>
      </c>
    </row>
    <row r="22" spans="5:17" x14ac:dyDescent="0.3">
      <c r="I22">
        <f>C4*C5*C6</f>
        <v>50000</v>
      </c>
      <c r="J22">
        <v>1</v>
      </c>
      <c r="K22">
        <v>2</v>
      </c>
      <c r="L22">
        <v>3</v>
      </c>
      <c r="M22">
        <v>4</v>
      </c>
      <c r="N22">
        <v>5</v>
      </c>
      <c r="O22">
        <v>6</v>
      </c>
      <c r="P22">
        <v>7</v>
      </c>
      <c r="Q22">
        <v>8</v>
      </c>
    </row>
    <row r="23" spans="5:17" x14ac:dyDescent="0.3">
      <c r="I23">
        <v>500</v>
      </c>
      <c r="J23">
        <f t="dataTable" ref="J23:Q33" dt2D="1" dtr="1" r1="C6" r2="C4" ca="1"/>
        <v>50000</v>
      </c>
      <c r="K23">
        <v>100000</v>
      </c>
      <c r="L23">
        <v>150000</v>
      </c>
      <c r="M23">
        <v>200000</v>
      </c>
      <c r="N23">
        <v>250000</v>
      </c>
      <c r="O23">
        <v>300000</v>
      </c>
      <c r="P23">
        <v>350000</v>
      </c>
      <c r="Q23">
        <v>400000</v>
      </c>
    </row>
    <row r="24" spans="5:17" x14ac:dyDescent="0.3">
      <c r="I24">
        <v>600</v>
      </c>
      <c r="J24">
        <v>60000</v>
      </c>
      <c r="K24">
        <v>120000</v>
      </c>
      <c r="L24">
        <v>180000</v>
      </c>
      <c r="M24">
        <v>240000</v>
      </c>
      <c r="N24">
        <v>300000</v>
      </c>
      <c r="O24">
        <v>360000</v>
      </c>
      <c r="P24">
        <v>420000</v>
      </c>
      <c r="Q24">
        <v>480000</v>
      </c>
    </row>
    <row r="25" spans="5:17" x14ac:dyDescent="0.3">
      <c r="I25">
        <v>700</v>
      </c>
      <c r="J25">
        <v>70000</v>
      </c>
      <c r="K25">
        <v>140000</v>
      </c>
      <c r="L25">
        <v>210000</v>
      </c>
      <c r="M25">
        <v>280000</v>
      </c>
      <c r="N25">
        <v>350000</v>
      </c>
      <c r="O25">
        <v>420000</v>
      </c>
      <c r="P25">
        <v>490000</v>
      </c>
      <c r="Q25">
        <v>560000</v>
      </c>
    </row>
    <row r="26" spans="5:17" x14ac:dyDescent="0.3">
      <c r="I26">
        <v>800</v>
      </c>
      <c r="J26">
        <v>80000</v>
      </c>
      <c r="K26">
        <v>160000</v>
      </c>
      <c r="L26">
        <v>240000</v>
      </c>
      <c r="M26">
        <v>320000</v>
      </c>
      <c r="N26">
        <v>400000</v>
      </c>
      <c r="O26">
        <v>480000</v>
      </c>
      <c r="P26">
        <v>560000</v>
      </c>
      <c r="Q26">
        <v>640000</v>
      </c>
    </row>
    <row r="27" spans="5:17" x14ac:dyDescent="0.3">
      <c r="I27">
        <v>900</v>
      </c>
      <c r="J27">
        <v>90000</v>
      </c>
      <c r="K27">
        <v>180000</v>
      </c>
      <c r="L27">
        <v>270000</v>
      </c>
      <c r="M27">
        <v>360000</v>
      </c>
      <c r="N27">
        <v>450000</v>
      </c>
      <c r="O27">
        <v>540000</v>
      </c>
      <c r="P27">
        <v>630000</v>
      </c>
      <c r="Q27">
        <v>720000</v>
      </c>
    </row>
    <row r="28" spans="5:17" x14ac:dyDescent="0.3">
      <c r="I28">
        <v>1000</v>
      </c>
      <c r="J28">
        <v>100000</v>
      </c>
      <c r="K28">
        <v>200000</v>
      </c>
      <c r="L28">
        <v>300000</v>
      </c>
      <c r="M28">
        <v>400000</v>
      </c>
      <c r="N28">
        <v>500000</v>
      </c>
      <c r="O28">
        <v>600000</v>
      </c>
      <c r="P28">
        <v>700000</v>
      </c>
      <c r="Q28">
        <v>800000</v>
      </c>
    </row>
    <row r="29" spans="5:17" x14ac:dyDescent="0.3">
      <c r="I29">
        <v>1100</v>
      </c>
      <c r="J29">
        <v>110000</v>
      </c>
      <c r="K29">
        <v>220000</v>
      </c>
      <c r="L29">
        <v>330000</v>
      </c>
      <c r="M29">
        <v>440000</v>
      </c>
      <c r="N29">
        <v>550000</v>
      </c>
      <c r="O29">
        <v>660000</v>
      </c>
      <c r="P29">
        <v>770000</v>
      </c>
      <c r="Q29">
        <v>880000</v>
      </c>
    </row>
    <row r="30" spans="5:17" x14ac:dyDescent="0.3">
      <c r="I30">
        <v>1200</v>
      </c>
      <c r="J30">
        <v>120000</v>
      </c>
      <c r="K30">
        <v>240000</v>
      </c>
      <c r="L30">
        <v>360000</v>
      </c>
      <c r="M30">
        <v>480000</v>
      </c>
      <c r="N30">
        <v>600000</v>
      </c>
      <c r="O30">
        <v>720000</v>
      </c>
      <c r="P30">
        <v>840000</v>
      </c>
      <c r="Q30">
        <v>960000</v>
      </c>
    </row>
    <row r="31" spans="5:17" x14ac:dyDescent="0.3">
      <c r="I31">
        <v>1300</v>
      </c>
      <c r="J31">
        <v>130000</v>
      </c>
      <c r="K31">
        <v>260000</v>
      </c>
      <c r="L31">
        <v>390000</v>
      </c>
      <c r="M31">
        <v>520000</v>
      </c>
      <c r="N31">
        <v>650000</v>
      </c>
      <c r="O31">
        <v>780000</v>
      </c>
      <c r="P31">
        <v>910000</v>
      </c>
      <c r="Q31">
        <v>1040000</v>
      </c>
    </row>
    <row r="32" spans="5:17" x14ac:dyDescent="0.3">
      <c r="I32">
        <v>1400</v>
      </c>
      <c r="J32">
        <v>140000</v>
      </c>
      <c r="K32">
        <v>280000</v>
      </c>
      <c r="L32">
        <v>420000</v>
      </c>
      <c r="M32">
        <v>560000</v>
      </c>
      <c r="N32">
        <v>700000</v>
      </c>
      <c r="O32">
        <v>840000</v>
      </c>
      <c r="P32">
        <v>980000</v>
      </c>
      <c r="Q32">
        <v>1120000</v>
      </c>
    </row>
    <row r="33" spans="9:17" x14ac:dyDescent="0.3">
      <c r="I33">
        <v>1500</v>
      </c>
      <c r="J33">
        <v>150000</v>
      </c>
      <c r="K33">
        <v>300000</v>
      </c>
      <c r="L33">
        <v>450000</v>
      </c>
      <c r="M33">
        <v>600000</v>
      </c>
      <c r="N33">
        <v>750000</v>
      </c>
      <c r="O33">
        <v>900000</v>
      </c>
      <c r="P33">
        <v>1050000</v>
      </c>
      <c r="Q33">
        <v>1200000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5"/>
  <sheetViews>
    <sheetView workbookViewId="0">
      <selection sqref="A1:I12"/>
    </sheetView>
  </sheetViews>
  <sheetFormatPr defaultRowHeight="14.4" x14ac:dyDescent="0.3"/>
  <sheetData>
    <row r="1" spans="1:9" x14ac:dyDescent="0.3">
      <c r="A1" s="20" t="s">
        <v>11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  <c r="G1" s="8" t="s">
        <v>17</v>
      </c>
      <c r="H1" s="21" t="s">
        <v>18</v>
      </c>
      <c r="I1" s="22" t="s">
        <v>19</v>
      </c>
    </row>
    <row r="2" spans="1:9" x14ac:dyDescent="0.3">
      <c r="A2" s="15">
        <v>43106</v>
      </c>
      <c r="B2" s="9" t="s">
        <v>27</v>
      </c>
      <c r="C2" s="9" t="s">
        <v>28</v>
      </c>
      <c r="D2" s="9" t="s">
        <v>34</v>
      </c>
      <c r="E2" s="9" t="s">
        <v>45</v>
      </c>
      <c r="F2" s="9">
        <v>95</v>
      </c>
      <c r="G2" s="9">
        <v>1198</v>
      </c>
      <c r="H2" s="9">
        <v>113810</v>
      </c>
      <c r="I2" s="10" t="s">
        <v>43</v>
      </c>
    </row>
    <row r="3" spans="1:9" x14ac:dyDescent="0.3">
      <c r="A3" s="15">
        <v>43140</v>
      </c>
      <c r="B3" s="9" t="s">
        <v>20</v>
      </c>
      <c r="C3" s="9" t="s">
        <v>35</v>
      </c>
      <c r="D3" s="9" t="s">
        <v>41</v>
      </c>
      <c r="E3" s="9" t="s">
        <v>45</v>
      </c>
      <c r="F3" s="9">
        <v>36</v>
      </c>
      <c r="G3" s="9">
        <v>1198</v>
      </c>
      <c r="H3" s="9">
        <v>43128</v>
      </c>
      <c r="I3" s="10" t="s">
        <v>33</v>
      </c>
    </row>
    <row r="4" spans="1:9" x14ac:dyDescent="0.3">
      <c r="A4" s="15">
        <v>43157</v>
      </c>
      <c r="B4" s="9" t="s">
        <v>20</v>
      </c>
      <c r="C4" s="9" t="s">
        <v>21</v>
      </c>
      <c r="D4" s="9" t="s">
        <v>22</v>
      </c>
      <c r="E4" s="9" t="s">
        <v>23</v>
      </c>
      <c r="F4" s="9">
        <v>27</v>
      </c>
      <c r="G4" s="9">
        <v>225</v>
      </c>
      <c r="H4" s="9">
        <v>6075</v>
      </c>
      <c r="I4" s="10" t="s">
        <v>24</v>
      </c>
    </row>
    <row r="5" spans="1:9" x14ac:dyDescent="0.3">
      <c r="A5" s="16">
        <v>43174</v>
      </c>
      <c r="B5" s="11" t="s">
        <v>25</v>
      </c>
      <c r="C5" s="11" t="s">
        <v>21</v>
      </c>
      <c r="D5" s="11" t="s">
        <v>26</v>
      </c>
      <c r="E5" s="11" t="s">
        <v>45</v>
      </c>
      <c r="F5" s="11">
        <v>56</v>
      </c>
      <c r="G5" s="11">
        <v>1198</v>
      </c>
      <c r="H5" s="11">
        <v>67088</v>
      </c>
      <c r="I5" s="12" t="s">
        <v>43</v>
      </c>
    </row>
    <row r="6" spans="1:9" x14ac:dyDescent="0.3">
      <c r="A6" s="15">
        <v>43208</v>
      </c>
      <c r="B6" s="9" t="s">
        <v>20</v>
      </c>
      <c r="C6" s="9" t="s">
        <v>28</v>
      </c>
      <c r="D6" s="9" t="s">
        <v>42</v>
      </c>
      <c r="E6" s="9" t="s">
        <v>45</v>
      </c>
      <c r="F6" s="9">
        <v>75</v>
      </c>
      <c r="G6" s="9">
        <v>1198</v>
      </c>
      <c r="H6" s="9">
        <v>89850</v>
      </c>
      <c r="I6" s="10" t="s">
        <v>33</v>
      </c>
    </row>
    <row r="7" spans="1:9" x14ac:dyDescent="0.3">
      <c r="A7" s="15">
        <v>43225</v>
      </c>
      <c r="B7" s="9" t="s">
        <v>20</v>
      </c>
      <c r="C7" s="9" t="s">
        <v>35</v>
      </c>
      <c r="D7" s="9" t="s">
        <v>41</v>
      </c>
      <c r="E7" s="9" t="s">
        <v>45</v>
      </c>
      <c r="F7" s="9">
        <v>90</v>
      </c>
      <c r="G7" s="9">
        <v>1198</v>
      </c>
      <c r="H7" s="9">
        <v>107820</v>
      </c>
      <c r="I7" s="10" t="s">
        <v>43</v>
      </c>
    </row>
    <row r="8" spans="1:9" x14ac:dyDescent="0.3">
      <c r="A8" s="15">
        <v>43344</v>
      </c>
      <c r="B8" s="9" t="s">
        <v>20</v>
      </c>
      <c r="C8" s="9" t="s">
        <v>31</v>
      </c>
      <c r="D8" s="9" t="s">
        <v>38</v>
      </c>
      <c r="E8" s="9" t="s">
        <v>37</v>
      </c>
      <c r="F8" s="9">
        <v>2</v>
      </c>
      <c r="G8" s="9">
        <v>125</v>
      </c>
      <c r="H8" s="9">
        <v>250</v>
      </c>
      <c r="I8" s="9" t="s">
        <v>24</v>
      </c>
    </row>
    <row r="9" spans="1:9" x14ac:dyDescent="0.3">
      <c r="A9" s="16">
        <v>43701</v>
      </c>
      <c r="B9" s="11" t="s">
        <v>25</v>
      </c>
      <c r="C9" s="11" t="s">
        <v>21</v>
      </c>
      <c r="D9" s="11" t="s">
        <v>26</v>
      </c>
      <c r="E9" s="11" t="s">
        <v>37</v>
      </c>
      <c r="F9" s="11">
        <v>3</v>
      </c>
      <c r="G9" s="11">
        <v>125</v>
      </c>
      <c r="H9" s="11">
        <v>375</v>
      </c>
      <c r="I9" s="11" t="s">
        <v>30</v>
      </c>
    </row>
    <row r="10" spans="1:9" x14ac:dyDescent="0.3">
      <c r="A10" s="15">
        <v>43123</v>
      </c>
      <c r="B10" s="9" t="s">
        <v>20</v>
      </c>
      <c r="C10" s="9" t="s">
        <v>35</v>
      </c>
      <c r="D10" s="9" t="s">
        <v>36</v>
      </c>
      <c r="E10" s="9" t="s">
        <v>39</v>
      </c>
      <c r="F10" s="9">
        <v>50</v>
      </c>
      <c r="G10" s="9">
        <v>500</v>
      </c>
      <c r="H10" s="9">
        <v>25000</v>
      </c>
      <c r="I10" s="9" t="s">
        <v>30</v>
      </c>
    </row>
    <row r="11" spans="1:9" x14ac:dyDescent="0.3">
      <c r="A11" s="16">
        <v>43378</v>
      </c>
      <c r="B11" s="11" t="s">
        <v>20</v>
      </c>
      <c r="C11" s="11" t="s">
        <v>35</v>
      </c>
      <c r="D11" s="11" t="s">
        <v>40</v>
      </c>
      <c r="E11" s="11" t="s">
        <v>39</v>
      </c>
      <c r="F11" s="11">
        <v>28</v>
      </c>
      <c r="G11" s="11">
        <v>500</v>
      </c>
      <c r="H11" s="11">
        <v>14000</v>
      </c>
      <c r="I11" s="11" t="s">
        <v>30</v>
      </c>
    </row>
    <row r="12" spans="1:9" x14ac:dyDescent="0.3">
      <c r="A12" s="15">
        <v>43616</v>
      </c>
      <c r="B12" s="9" t="s">
        <v>20</v>
      </c>
      <c r="C12" s="9" t="s">
        <v>21</v>
      </c>
      <c r="D12" s="9" t="s">
        <v>22</v>
      </c>
      <c r="E12" s="9" t="s">
        <v>39</v>
      </c>
      <c r="F12" s="9">
        <v>80</v>
      </c>
      <c r="G12" s="9">
        <v>500</v>
      </c>
      <c r="H12" s="9">
        <v>40000</v>
      </c>
      <c r="I12" s="9" t="s">
        <v>30</v>
      </c>
    </row>
    <row r="13" spans="1:9" x14ac:dyDescent="0.3">
      <c r="A13" s="16">
        <v>43803</v>
      </c>
      <c r="B13" s="11" t="s">
        <v>20</v>
      </c>
      <c r="C13" s="11" t="s">
        <v>35</v>
      </c>
      <c r="D13" s="11" t="s">
        <v>41</v>
      </c>
      <c r="E13" s="11" t="s">
        <v>39</v>
      </c>
      <c r="F13" s="11">
        <v>94</v>
      </c>
      <c r="G13" s="11">
        <v>500</v>
      </c>
      <c r="H13" s="11">
        <v>47000</v>
      </c>
      <c r="I13" s="11" t="s">
        <v>30</v>
      </c>
    </row>
    <row r="14" spans="1:9" x14ac:dyDescent="0.3">
      <c r="A14" s="15">
        <v>43242</v>
      </c>
      <c r="B14" s="9" t="s">
        <v>25</v>
      </c>
      <c r="C14" s="9" t="s">
        <v>31</v>
      </c>
      <c r="D14" s="9" t="s">
        <v>44</v>
      </c>
      <c r="E14" s="9" t="s">
        <v>45</v>
      </c>
      <c r="F14" s="9">
        <v>32</v>
      </c>
      <c r="G14" s="9">
        <v>1198</v>
      </c>
      <c r="H14" s="9">
        <v>38336</v>
      </c>
      <c r="I14" s="10" t="s">
        <v>30</v>
      </c>
    </row>
    <row r="15" spans="1:9" x14ac:dyDescent="0.3">
      <c r="A15" s="16">
        <v>43276</v>
      </c>
      <c r="B15" s="11" t="s">
        <v>20</v>
      </c>
      <c r="C15" s="11" t="s">
        <v>35</v>
      </c>
      <c r="D15" s="11" t="s">
        <v>40</v>
      </c>
      <c r="E15" s="11" t="s">
        <v>45</v>
      </c>
      <c r="F15" s="11">
        <v>90</v>
      </c>
      <c r="G15" s="11">
        <v>1198</v>
      </c>
      <c r="H15" s="11">
        <v>107820</v>
      </c>
      <c r="I15" s="12" t="s">
        <v>30</v>
      </c>
    </row>
    <row r="16" spans="1:9" x14ac:dyDescent="0.3">
      <c r="A16" s="15">
        <v>43327</v>
      </c>
      <c r="B16" s="9" t="s">
        <v>27</v>
      </c>
      <c r="C16" s="9" t="s">
        <v>28</v>
      </c>
      <c r="D16" s="9" t="s">
        <v>34</v>
      </c>
      <c r="E16" s="9" t="s">
        <v>45</v>
      </c>
      <c r="F16" s="9">
        <v>35</v>
      </c>
      <c r="G16" s="9">
        <v>1198</v>
      </c>
      <c r="H16" s="9">
        <v>41930</v>
      </c>
      <c r="I16" s="10" t="s">
        <v>33</v>
      </c>
    </row>
    <row r="17" spans="1:9" x14ac:dyDescent="0.3">
      <c r="A17" s="15">
        <v>43361</v>
      </c>
      <c r="B17" s="9" t="s">
        <v>27</v>
      </c>
      <c r="C17" s="9" t="s">
        <v>28</v>
      </c>
      <c r="D17" s="9" t="s">
        <v>34</v>
      </c>
      <c r="E17" s="9" t="s">
        <v>46</v>
      </c>
      <c r="F17" s="9">
        <v>16</v>
      </c>
      <c r="G17" s="9">
        <v>58.5</v>
      </c>
      <c r="H17" s="9">
        <v>936</v>
      </c>
      <c r="I17" s="10" t="s">
        <v>43</v>
      </c>
    </row>
    <row r="18" spans="1:9" x14ac:dyDescent="0.3">
      <c r="A18" s="15">
        <v>43395</v>
      </c>
      <c r="B18" s="9" t="s">
        <v>27</v>
      </c>
      <c r="C18" s="9" t="s">
        <v>28</v>
      </c>
      <c r="D18" s="9" t="s">
        <v>34</v>
      </c>
      <c r="E18" s="9" t="s">
        <v>23</v>
      </c>
      <c r="F18" s="9">
        <v>64</v>
      </c>
      <c r="G18" s="9">
        <v>225</v>
      </c>
      <c r="H18" s="9">
        <v>14400</v>
      </c>
      <c r="I18" s="10" t="s">
        <v>24</v>
      </c>
    </row>
    <row r="19" spans="1:9" x14ac:dyDescent="0.3">
      <c r="A19" s="16">
        <v>43412</v>
      </c>
      <c r="B19" s="11" t="s">
        <v>27</v>
      </c>
      <c r="C19" s="11" t="s">
        <v>31</v>
      </c>
      <c r="D19" s="11" t="s">
        <v>32</v>
      </c>
      <c r="E19" s="11" t="s">
        <v>23</v>
      </c>
      <c r="F19" s="11">
        <v>15</v>
      </c>
      <c r="G19" s="11">
        <v>225</v>
      </c>
      <c r="H19" s="11">
        <v>3375</v>
      </c>
      <c r="I19" s="12" t="s">
        <v>33</v>
      </c>
    </row>
    <row r="20" spans="1:9" x14ac:dyDescent="0.3">
      <c r="A20" s="15">
        <v>43191</v>
      </c>
      <c r="B20" s="9" t="s">
        <v>27</v>
      </c>
      <c r="C20" s="9" t="s">
        <v>28</v>
      </c>
      <c r="D20" s="9" t="s">
        <v>34</v>
      </c>
      <c r="E20" s="9" t="s">
        <v>39</v>
      </c>
      <c r="F20" s="9">
        <v>60</v>
      </c>
      <c r="G20" s="9">
        <v>500</v>
      </c>
      <c r="H20" s="9">
        <v>30000</v>
      </c>
      <c r="I20" s="9" t="s">
        <v>30</v>
      </c>
    </row>
    <row r="21" spans="1:9" x14ac:dyDescent="0.3">
      <c r="A21" s="16">
        <v>43514</v>
      </c>
      <c r="B21" s="11" t="s">
        <v>27</v>
      </c>
      <c r="C21" s="11" t="s">
        <v>28</v>
      </c>
      <c r="D21" s="11" t="s">
        <v>34</v>
      </c>
      <c r="E21" s="11" t="s">
        <v>39</v>
      </c>
      <c r="F21" s="11">
        <v>4</v>
      </c>
      <c r="G21" s="11">
        <v>500</v>
      </c>
      <c r="H21" s="11">
        <v>2000</v>
      </c>
      <c r="I21" s="11" t="s">
        <v>30</v>
      </c>
    </row>
    <row r="22" spans="1:9" x14ac:dyDescent="0.3">
      <c r="A22" s="15">
        <v>43293</v>
      </c>
      <c r="B22" s="9" t="s">
        <v>27</v>
      </c>
      <c r="C22" s="9" t="s">
        <v>28</v>
      </c>
      <c r="D22" s="9" t="s">
        <v>29</v>
      </c>
      <c r="E22" s="9" t="s">
        <v>39</v>
      </c>
      <c r="F22" s="9">
        <v>29</v>
      </c>
      <c r="G22" s="9">
        <v>500</v>
      </c>
      <c r="H22" s="9">
        <v>14500</v>
      </c>
      <c r="I22" s="9" t="s">
        <v>33</v>
      </c>
    </row>
    <row r="23" spans="1:9" x14ac:dyDescent="0.3">
      <c r="A23" s="16">
        <v>43310</v>
      </c>
      <c r="B23" s="11" t="s">
        <v>27</v>
      </c>
      <c r="C23" s="11" t="s">
        <v>31</v>
      </c>
      <c r="D23" s="11" t="s">
        <v>32</v>
      </c>
      <c r="E23" s="11" t="s">
        <v>39</v>
      </c>
      <c r="F23" s="11">
        <v>81</v>
      </c>
      <c r="G23" s="11">
        <v>500</v>
      </c>
      <c r="H23" s="11">
        <v>40500</v>
      </c>
      <c r="I23" s="11" t="s">
        <v>24</v>
      </c>
    </row>
    <row r="24" spans="1:9" x14ac:dyDescent="0.3">
      <c r="A24" s="15">
        <v>43259</v>
      </c>
      <c r="B24" s="9" t="s">
        <v>27</v>
      </c>
      <c r="C24" s="9" t="s">
        <v>28</v>
      </c>
      <c r="D24" s="9" t="s">
        <v>34</v>
      </c>
      <c r="E24" s="9" t="s">
        <v>39</v>
      </c>
      <c r="F24" s="9">
        <v>60</v>
      </c>
      <c r="G24" s="9">
        <v>500</v>
      </c>
      <c r="H24" s="9">
        <v>30000</v>
      </c>
      <c r="I24" s="9" t="s">
        <v>43</v>
      </c>
    </row>
    <row r="25" spans="1:9" x14ac:dyDescent="0.3">
      <c r="A25" s="15">
        <v>43429</v>
      </c>
      <c r="B25" s="9" t="s">
        <v>20</v>
      </c>
      <c r="C25" s="9" t="s">
        <v>35</v>
      </c>
      <c r="D25" s="9" t="s">
        <v>36</v>
      </c>
      <c r="E25" s="9" t="s">
        <v>46</v>
      </c>
      <c r="F25" s="9">
        <v>96</v>
      </c>
      <c r="G25" s="9">
        <v>58.5</v>
      </c>
      <c r="H25" s="9">
        <v>5616</v>
      </c>
      <c r="I25" s="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F9F2-D5D1-4B77-AEC7-2F012EA9221E}">
  <dimension ref="A7:G64"/>
  <sheetViews>
    <sheetView topLeftCell="A4" zoomScale="130" zoomScaleNormal="130" workbookViewId="0">
      <selection activeCell="I13" sqref="I13"/>
    </sheetView>
  </sheetViews>
  <sheetFormatPr defaultRowHeight="14.4" x14ac:dyDescent="0.3"/>
  <cols>
    <col min="1" max="1" width="9.77734375" customWidth="1"/>
    <col min="2" max="2" width="6.6640625" customWidth="1"/>
    <col min="6" max="6" width="16.88671875" bestFit="1" customWidth="1"/>
  </cols>
  <sheetData>
    <row r="7" spans="6:7" x14ac:dyDescent="0.3">
      <c r="F7" s="24" t="s">
        <v>53</v>
      </c>
      <c r="G7" s="25">
        <v>500</v>
      </c>
    </row>
    <row r="8" spans="6:7" x14ac:dyDescent="0.3">
      <c r="F8" s="24" t="s">
        <v>54</v>
      </c>
      <c r="G8" s="25">
        <v>700</v>
      </c>
    </row>
    <row r="9" spans="6:7" x14ac:dyDescent="0.3">
      <c r="F9" s="24" t="s">
        <v>55</v>
      </c>
      <c r="G9" s="25">
        <v>140</v>
      </c>
    </row>
    <row r="10" spans="6:7" x14ac:dyDescent="0.3">
      <c r="F10" s="24" t="s">
        <v>3</v>
      </c>
      <c r="G10" s="25">
        <v>1</v>
      </c>
    </row>
    <row r="12" spans="6:7" x14ac:dyDescent="0.3">
      <c r="F12" s="24" t="s">
        <v>56</v>
      </c>
      <c r="G12" s="25">
        <f>G7*G8</f>
        <v>350000</v>
      </c>
    </row>
    <row r="13" spans="6:7" x14ac:dyDescent="0.3">
      <c r="F13" s="24" t="s">
        <v>57</v>
      </c>
      <c r="G13" s="25">
        <f>G7*G9</f>
        <v>70000</v>
      </c>
    </row>
    <row r="64" spans="1:1" x14ac:dyDescent="0.3">
      <c r="A64" s="23"/>
    </row>
  </sheetData>
  <scenarios current="0" sqref="G12 G13">
    <scenario name="700 Sales" locked="1" count="1" user="pc" comment="Created by pc on 27-01-2026">
      <inputCells r="G7" val="700"/>
    </scenario>
    <scenario name="900 Sales" locked="1" count="1" user="pc" comment="Created by pc on 27-01-2026">
      <inputCells r="G7" val="900"/>
    </scenario>
    <scenario name="1200 Sales" locked="1" count="1" user="pc" comment="Created by pc on 27-01-2026">
      <inputCells r="G7" val="1200"/>
    </scenario>
  </scenarios>
  <dataConsolidate topLabels="1" link="1">
    <dataRefs count="3">
      <dataRef ref="A1:I25" sheet="Sheet5"/>
      <dataRef ref="A1:I12" sheet="Sheet6"/>
      <dataRef ref="A1:J285" sheet="Sheet7"/>
    </dataRefs>
  </dataConsolid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E571-824C-48C6-8469-401289B91DC2}">
  <dimension ref="B3:I66"/>
  <sheetViews>
    <sheetView zoomScale="130" zoomScaleNormal="130" workbookViewId="0">
      <selection activeCell="J11" sqref="J11"/>
    </sheetView>
  </sheetViews>
  <sheetFormatPr defaultRowHeight="14.4" x14ac:dyDescent="0.3"/>
  <cols>
    <col min="2" max="2" width="12.44140625" customWidth="1"/>
    <col min="3" max="3" width="15.6640625" customWidth="1"/>
    <col min="7" max="9" width="12.33203125" customWidth="1"/>
  </cols>
  <sheetData>
    <row r="3" spans="2:9" x14ac:dyDescent="0.3">
      <c r="B3" t="s">
        <v>52</v>
      </c>
      <c r="C3">
        <v>500000</v>
      </c>
    </row>
    <row r="4" spans="2:9" x14ac:dyDescent="0.3">
      <c r="B4" t="s">
        <v>65</v>
      </c>
      <c r="C4" s="33">
        <v>0.12</v>
      </c>
      <c r="G4" t="s">
        <v>73</v>
      </c>
      <c r="H4" t="s">
        <v>74</v>
      </c>
      <c r="I4" t="s">
        <v>75</v>
      </c>
    </row>
    <row r="5" spans="2:9" x14ac:dyDescent="0.3">
      <c r="B5" t="s">
        <v>3</v>
      </c>
      <c r="C5">
        <v>60</v>
      </c>
      <c r="F5" t="s">
        <v>69</v>
      </c>
      <c r="G5" t="s">
        <v>70</v>
      </c>
      <c r="H5" t="s">
        <v>71</v>
      </c>
      <c r="I5" t="s">
        <v>72</v>
      </c>
    </row>
    <row r="6" spans="2:9" x14ac:dyDescent="0.3">
      <c r="F6">
        <v>1</v>
      </c>
      <c r="G6" s="34">
        <f>PPMT($C$4/12,F6,$C$5,-$C$3)</f>
        <v>6122.2238424508869</v>
      </c>
      <c r="H6" s="34">
        <f>IPMT($C$4/12,F6,$C$5,-$C$3)</f>
        <v>5000</v>
      </c>
      <c r="I6" s="34">
        <f>G6+H6</f>
        <v>11122.223842450887</v>
      </c>
    </row>
    <row r="7" spans="2:9" x14ac:dyDescent="0.3">
      <c r="F7">
        <v>2</v>
      </c>
      <c r="G7" s="34">
        <f t="shared" ref="G7:G65" si="0">PPMT($C$4/12,F7,$C$5,-$C$3)</f>
        <v>6183.4460808753956</v>
      </c>
      <c r="H7" s="34">
        <f t="shared" ref="H7:H65" si="1">IPMT($C$4/12,F7,$C$5,-$C$3)</f>
        <v>4938.7777615754912</v>
      </c>
      <c r="I7" s="34">
        <f t="shared" ref="I7:I65" si="2">G7+H7</f>
        <v>11122.223842450887</v>
      </c>
    </row>
    <row r="8" spans="2:9" x14ac:dyDescent="0.3">
      <c r="B8" t="s">
        <v>66</v>
      </c>
      <c r="C8" s="34">
        <f>PMT(C4/12,C5,-C3)</f>
        <v>11122.223842450885</v>
      </c>
      <c r="F8">
        <v>3</v>
      </c>
      <c r="G8" s="34">
        <f t="shared" si="0"/>
        <v>6245.2805416841493</v>
      </c>
      <c r="H8" s="34">
        <f t="shared" si="1"/>
        <v>4876.9433007667358</v>
      </c>
      <c r="I8" s="34">
        <f t="shared" si="2"/>
        <v>11122.223842450885</v>
      </c>
    </row>
    <row r="9" spans="2:9" x14ac:dyDescent="0.3">
      <c r="B9" t="s">
        <v>67</v>
      </c>
      <c r="C9" s="34">
        <f>C8*C5</f>
        <v>667333.43054705311</v>
      </c>
      <c r="F9">
        <v>4</v>
      </c>
      <c r="G9" s="34">
        <f t="shared" si="0"/>
        <v>6307.7333471009915</v>
      </c>
      <c r="H9" s="34">
        <f t="shared" si="1"/>
        <v>4814.4904953498954</v>
      </c>
      <c r="I9" s="34">
        <f t="shared" si="2"/>
        <v>11122.223842450887</v>
      </c>
    </row>
    <row r="10" spans="2:9" x14ac:dyDescent="0.3">
      <c r="B10" t="s">
        <v>68</v>
      </c>
      <c r="C10" s="34">
        <f>C9-C3</f>
        <v>167333.43054705311</v>
      </c>
      <c r="F10">
        <v>5</v>
      </c>
      <c r="G10" s="34">
        <f t="shared" si="0"/>
        <v>6370.8106805720008</v>
      </c>
      <c r="H10" s="34">
        <f t="shared" si="1"/>
        <v>4751.4131618788842</v>
      </c>
      <c r="I10" s="34">
        <f t="shared" si="2"/>
        <v>11122.223842450885</v>
      </c>
    </row>
    <row r="11" spans="2:9" x14ac:dyDescent="0.3">
      <c r="F11">
        <v>6</v>
      </c>
      <c r="G11" s="34">
        <f t="shared" si="0"/>
        <v>6434.5187873777204</v>
      </c>
      <c r="H11" s="34">
        <f t="shared" si="1"/>
        <v>4687.7050550731647</v>
      </c>
      <c r="I11" s="34">
        <f t="shared" si="2"/>
        <v>11122.223842450885</v>
      </c>
    </row>
    <row r="12" spans="2:9" x14ac:dyDescent="0.3">
      <c r="F12">
        <v>7</v>
      </c>
      <c r="G12" s="34">
        <f t="shared" si="0"/>
        <v>6498.8639752514991</v>
      </c>
      <c r="H12" s="34">
        <f t="shared" si="1"/>
        <v>4623.3598671993886</v>
      </c>
      <c r="I12" s="34">
        <f t="shared" si="2"/>
        <v>11122.223842450887</v>
      </c>
    </row>
    <row r="13" spans="2:9" x14ac:dyDescent="0.3">
      <c r="F13">
        <v>8</v>
      </c>
      <c r="G13" s="34">
        <f t="shared" si="0"/>
        <v>6563.8526150040134</v>
      </c>
      <c r="H13" s="34">
        <f t="shared" si="1"/>
        <v>4558.3712274468726</v>
      </c>
      <c r="I13" s="34">
        <f t="shared" si="2"/>
        <v>11122.223842450887</v>
      </c>
    </row>
    <row r="14" spans="2:9" x14ac:dyDescent="0.3">
      <c r="F14">
        <v>9</v>
      </c>
      <c r="G14" s="34">
        <f t="shared" si="0"/>
        <v>6629.4911411540525</v>
      </c>
      <c r="H14" s="34">
        <f t="shared" si="1"/>
        <v>4492.7327012968335</v>
      </c>
      <c r="I14" s="34">
        <f t="shared" si="2"/>
        <v>11122.223842450887</v>
      </c>
    </row>
    <row r="15" spans="2:9" x14ac:dyDescent="0.3">
      <c r="F15">
        <v>10</v>
      </c>
      <c r="G15" s="34">
        <f t="shared" si="0"/>
        <v>6695.7860525655933</v>
      </c>
      <c r="H15" s="34">
        <f t="shared" si="1"/>
        <v>4426.4377898852927</v>
      </c>
      <c r="I15" s="34">
        <f t="shared" si="2"/>
        <v>11122.223842450887</v>
      </c>
    </row>
    <row r="16" spans="2:9" x14ac:dyDescent="0.3">
      <c r="F16">
        <v>11</v>
      </c>
      <c r="G16" s="34">
        <f t="shared" si="0"/>
        <v>6762.7439130912489</v>
      </c>
      <c r="H16" s="34">
        <f t="shared" si="1"/>
        <v>4359.479929359637</v>
      </c>
      <c r="I16" s="34">
        <f t="shared" si="2"/>
        <v>11122.223842450887</v>
      </c>
    </row>
    <row r="17" spans="6:9" x14ac:dyDescent="0.3">
      <c r="F17">
        <v>12</v>
      </c>
      <c r="G17" s="34">
        <f t="shared" si="0"/>
        <v>6830.3713522221615</v>
      </c>
      <c r="H17" s="34">
        <f t="shared" si="1"/>
        <v>4291.8524902287245</v>
      </c>
      <c r="I17" s="34">
        <f t="shared" si="2"/>
        <v>11122.223842450887</v>
      </c>
    </row>
    <row r="18" spans="6:9" x14ac:dyDescent="0.3">
      <c r="F18">
        <v>13</v>
      </c>
      <c r="G18" s="34">
        <f t="shared" si="0"/>
        <v>6898.6750657443845</v>
      </c>
      <c r="H18" s="34">
        <f t="shared" si="1"/>
        <v>4223.5487767065024</v>
      </c>
      <c r="I18" s="34">
        <f t="shared" si="2"/>
        <v>11122.223842450887</v>
      </c>
    </row>
    <row r="19" spans="6:9" x14ac:dyDescent="0.3">
      <c r="F19">
        <v>14</v>
      </c>
      <c r="G19" s="34">
        <f t="shared" si="0"/>
        <v>6967.6618164018273</v>
      </c>
      <c r="H19" s="34">
        <f t="shared" si="1"/>
        <v>4154.5620260490587</v>
      </c>
      <c r="I19" s="34">
        <f t="shared" si="2"/>
        <v>11122.223842450887</v>
      </c>
    </row>
    <row r="20" spans="6:9" x14ac:dyDescent="0.3">
      <c r="F20">
        <v>15</v>
      </c>
      <c r="G20" s="34">
        <f t="shared" si="0"/>
        <v>7037.3384345658451</v>
      </c>
      <c r="H20" s="34">
        <f t="shared" si="1"/>
        <v>4084.8854078850391</v>
      </c>
      <c r="I20" s="34">
        <f t="shared" si="2"/>
        <v>11122.223842450883</v>
      </c>
    </row>
    <row r="21" spans="6:9" x14ac:dyDescent="0.3">
      <c r="F21">
        <v>16</v>
      </c>
      <c r="G21" s="34">
        <f t="shared" si="0"/>
        <v>7107.7118189115045</v>
      </c>
      <c r="H21" s="34">
        <f t="shared" si="1"/>
        <v>4014.5120235393815</v>
      </c>
      <c r="I21" s="34">
        <f t="shared" si="2"/>
        <v>11122.223842450887</v>
      </c>
    </row>
    <row r="22" spans="6:9" x14ac:dyDescent="0.3">
      <c r="F22">
        <v>17</v>
      </c>
      <c r="G22" s="34">
        <f t="shared" si="0"/>
        <v>7178.7889371006195</v>
      </c>
      <c r="H22" s="34">
        <f t="shared" si="1"/>
        <v>3943.4349053502665</v>
      </c>
      <c r="I22" s="34">
        <f t="shared" si="2"/>
        <v>11122.223842450887</v>
      </c>
    </row>
    <row r="23" spans="6:9" x14ac:dyDescent="0.3">
      <c r="F23">
        <v>18</v>
      </c>
      <c r="G23" s="34">
        <f t="shared" si="0"/>
        <v>7250.5768264716244</v>
      </c>
      <c r="H23" s="34">
        <f t="shared" si="1"/>
        <v>3871.6470159792598</v>
      </c>
      <c r="I23" s="34">
        <f t="shared" si="2"/>
        <v>11122.223842450883</v>
      </c>
    </row>
    <row r="24" spans="6:9" x14ac:dyDescent="0.3">
      <c r="F24">
        <v>19</v>
      </c>
      <c r="G24" s="34">
        <f t="shared" si="0"/>
        <v>7323.0825947363419</v>
      </c>
      <c r="H24" s="34">
        <f t="shared" si="1"/>
        <v>3799.1412477145445</v>
      </c>
      <c r="I24" s="34">
        <f t="shared" si="2"/>
        <v>11122.223842450887</v>
      </c>
    </row>
    <row r="25" spans="6:9" x14ac:dyDescent="0.3">
      <c r="F25">
        <v>20</v>
      </c>
      <c r="G25" s="34">
        <f t="shared" si="0"/>
        <v>7396.3134206837058</v>
      </c>
      <c r="H25" s="34">
        <f t="shared" si="1"/>
        <v>3725.9104217671807</v>
      </c>
      <c r="I25" s="34">
        <f t="shared" si="2"/>
        <v>11122.223842450887</v>
      </c>
    </row>
    <row r="26" spans="6:9" x14ac:dyDescent="0.3">
      <c r="F26">
        <v>21</v>
      </c>
      <c r="G26" s="34">
        <f t="shared" si="0"/>
        <v>7470.2765548905427</v>
      </c>
      <c r="H26" s="34">
        <f t="shared" si="1"/>
        <v>3651.9472875603433</v>
      </c>
      <c r="I26" s="34">
        <f t="shared" si="2"/>
        <v>11122.223842450887</v>
      </c>
    </row>
    <row r="27" spans="6:9" x14ac:dyDescent="0.3">
      <c r="F27">
        <v>22</v>
      </c>
      <c r="G27" s="34">
        <f t="shared" si="0"/>
        <v>7544.9793204394482</v>
      </c>
      <c r="H27" s="34">
        <f t="shared" si="1"/>
        <v>3577.2445220114387</v>
      </c>
      <c r="I27" s="34">
        <f t="shared" si="2"/>
        <v>11122.223842450887</v>
      </c>
    </row>
    <row r="28" spans="6:9" x14ac:dyDescent="0.3">
      <c r="F28">
        <v>23</v>
      </c>
      <c r="G28" s="34">
        <f t="shared" si="0"/>
        <v>7620.4291136438424</v>
      </c>
      <c r="H28" s="34">
        <f t="shared" si="1"/>
        <v>3501.7947288070432</v>
      </c>
      <c r="I28" s="34">
        <f t="shared" si="2"/>
        <v>11122.223842450885</v>
      </c>
    </row>
    <row r="29" spans="6:9" x14ac:dyDescent="0.3">
      <c r="F29">
        <v>24</v>
      </c>
      <c r="G29" s="34">
        <f t="shared" si="0"/>
        <v>7696.6334047802811</v>
      </c>
      <c r="H29" s="34">
        <f t="shared" si="1"/>
        <v>3425.5904376706053</v>
      </c>
      <c r="I29" s="34">
        <f t="shared" si="2"/>
        <v>11122.223842450887</v>
      </c>
    </row>
    <row r="30" spans="6:9" x14ac:dyDescent="0.3">
      <c r="F30">
        <v>25</v>
      </c>
      <c r="G30" s="34">
        <f t="shared" si="0"/>
        <v>7773.5997388280839</v>
      </c>
      <c r="H30" s="34">
        <f t="shared" si="1"/>
        <v>3348.6241036228021</v>
      </c>
      <c r="I30" s="34">
        <f t="shared" si="2"/>
        <v>11122.223842450887</v>
      </c>
    </row>
    <row r="31" spans="6:9" x14ac:dyDescent="0.3">
      <c r="F31">
        <v>26</v>
      </c>
      <c r="G31" s="34">
        <f t="shared" si="0"/>
        <v>7851.3357362163642</v>
      </c>
      <c r="H31" s="34">
        <f t="shared" si="1"/>
        <v>3270.8881062345213</v>
      </c>
      <c r="I31" s="34">
        <f t="shared" si="2"/>
        <v>11122.223842450885</v>
      </c>
    </row>
    <row r="32" spans="6:9" x14ac:dyDescent="0.3">
      <c r="F32">
        <v>27</v>
      </c>
      <c r="G32" s="34">
        <f t="shared" si="0"/>
        <v>7929.8490935785276</v>
      </c>
      <c r="H32" s="34">
        <f t="shared" si="1"/>
        <v>3192.3747488723579</v>
      </c>
      <c r="I32" s="34">
        <f t="shared" si="2"/>
        <v>11122.223842450885</v>
      </c>
    </row>
    <row r="33" spans="6:9" x14ac:dyDescent="0.3">
      <c r="F33">
        <v>28</v>
      </c>
      <c r="G33" s="34">
        <f t="shared" si="0"/>
        <v>8009.1475845143132</v>
      </c>
      <c r="H33" s="34">
        <f t="shared" si="1"/>
        <v>3113.0762579365728</v>
      </c>
      <c r="I33" s="34">
        <f t="shared" si="2"/>
        <v>11122.223842450887</v>
      </c>
    </row>
    <row r="34" spans="6:9" x14ac:dyDescent="0.3">
      <c r="F34">
        <v>29</v>
      </c>
      <c r="G34" s="34">
        <f t="shared" si="0"/>
        <v>8089.2390603594567</v>
      </c>
      <c r="H34" s="34">
        <f t="shared" si="1"/>
        <v>3032.9847820914292</v>
      </c>
      <c r="I34" s="34">
        <f t="shared" si="2"/>
        <v>11122.223842450887</v>
      </c>
    </row>
    <row r="35" spans="6:9" x14ac:dyDescent="0.3">
      <c r="F35">
        <v>30</v>
      </c>
      <c r="G35" s="34">
        <f t="shared" si="0"/>
        <v>8170.1314509630511</v>
      </c>
      <c r="H35" s="34">
        <f t="shared" si="1"/>
        <v>2952.0923914878349</v>
      </c>
      <c r="I35" s="34">
        <f t="shared" si="2"/>
        <v>11122.223842450887</v>
      </c>
    </row>
    <row r="36" spans="6:9" x14ac:dyDescent="0.3">
      <c r="F36">
        <v>31</v>
      </c>
      <c r="G36" s="34">
        <f t="shared" si="0"/>
        <v>8251.8327654726818</v>
      </c>
      <c r="H36" s="34">
        <f t="shared" si="1"/>
        <v>2870.3910769782042</v>
      </c>
      <c r="I36" s="34">
        <f t="shared" si="2"/>
        <v>11122.223842450887</v>
      </c>
    </row>
    <row r="37" spans="6:9" x14ac:dyDescent="0.3">
      <c r="F37">
        <v>32</v>
      </c>
      <c r="G37" s="34">
        <f t="shared" si="0"/>
        <v>8334.3510931274086</v>
      </c>
      <c r="H37" s="34">
        <f t="shared" si="1"/>
        <v>2787.8727493234778</v>
      </c>
      <c r="I37" s="34">
        <f t="shared" si="2"/>
        <v>11122.223842450887</v>
      </c>
    </row>
    <row r="38" spans="6:9" x14ac:dyDescent="0.3">
      <c r="F38">
        <v>33</v>
      </c>
      <c r="G38" s="34">
        <f t="shared" si="0"/>
        <v>8417.6946040586809</v>
      </c>
      <c r="H38" s="34">
        <f t="shared" si="1"/>
        <v>2704.5292383922038</v>
      </c>
      <c r="I38" s="34">
        <f t="shared" si="2"/>
        <v>11122.223842450885</v>
      </c>
    </row>
    <row r="39" spans="6:9" x14ac:dyDescent="0.3">
      <c r="F39">
        <v>34</v>
      </c>
      <c r="G39" s="34">
        <f t="shared" si="0"/>
        <v>8501.8715500992694</v>
      </c>
      <c r="H39" s="34">
        <f t="shared" si="1"/>
        <v>2620.3522923516161</v>
      </c>
      <c r="I39" s="34">
        <f t="shared" si="2"/>
        <v>11122.223842450885</v>
      </c>
    </row>
    <row r="40" spans="6:9" x14ac:dyDescent="0.3">
      <c r="F40">
        <v>35</v>
      </c>
      <c r="G40" s="34">
        <f t="shared" si="0"/>
        <v>8586.890265600261</v>
      </c>
      <c r="H40" s="34">
        <f t="shared" si="1"/>
        <v>2535.3335768506245</v>
      </c>
      <c r="I40" s="34">
        <f t="shared" si="2"/>
        <v>11122.223842450885</v>
      </c>
    </row>
    <row r="41" spans="6:9" x14ac:dyDescent="0.3">
      <c r="F41">
        <v>36</v>
      </c>
      <c r="G41" s="34">
        <f t="shared" si="0"/>
        <v>8672.7591682562652</v>
      </c>
      <c r="H41" s="34">
        <f t="shared" si="1"/>
        <v>2449.4646741946212</v>
      </c>
      <c r="I41" s="34">
        <f t="shared" si="2"/>
        <v>11122.223842450887</v>
      </c>
    </row>
    <row r="42" spans="6:9" x14ac:dyDescent="0.3">
      <c r="F42">
        <v>37</v>
      </c>
      <c r="G42" s="34">
        <f t="shared" si="0"/>
        <v>8759.4867599388272</v>
      </c>
      <c r="H42" s="34">
        <f t="shared" si="1"/>
        <v>2362.7370825120584</v>
      </c>
      <c r="I42" s="34">
        <f t="shared" si="2"/>
        <v>11122.223842450885</v>
      </c>
    </row>
    <row r="43" spans="6:9" x14ac:dyDescent="0.3">
      <c r="F43">
        <v>38</v>
      </c>
      <c r="G43" s="34">
        <f t="shared" si="0"/>
        <v>8847.0816275382167</v>
      </c>
      <c r="H43" s="34">
        <f t="shared" si="1"/>
        <v>2275.1422149126702</v>
      </c>
      <c r="I43" s="34">
        <f t="shared" si="2"/>
        <v>11122.223842450887</v>
      </c>
    </row>
    <row r="44" spans="6:9" x14ac:dyDescent="0.3">
      <c r="F44">
        <v>39</v>
      </c>
      <c r="G44" s="34">
        <f t="shared" si="0"/>
        <v>8935.5524438135981</v>
      </c>
      <c r="H44" s="34">
        <f t="shared" si="1"/>
        <v>2186.6713986372883</v>
      </c>
      <c r="I44" s="34">
        <f t="shared" si="2"/>
        <v>11122.223842450887</v>
      </c>
    </row>
    <row r="45" spans="6:9" x14ac:dyDescent="0.3">
      <c r="F45">
        <v>40</v>
      </c>
      <c r="G45" s="34">
        <f t="shared" si="0"/>
        <v>9024.9079682517331</v>
      </c>
      <c r="H45" s="34">
        <f t="shared" si="1"/>
        <v>2097.3158741991519</v>
      </c>
      <c r="I45" s="34">
        <f t="shared" si="2"/>
        <v>11122.223842450885</v>
      </c>
    </row>
    <row r="46" spans="6:9" x14ac:dyDescent="0.3">
      <c r="F46">
        <v>41</v>
      </c>
      <c r="G46" s="34">
        <f t="shared" si="0"/>
        <v>9115.1570479342499</v>
      </c>
      <c r="H46" s="34">
        <f t="shared" si="1"/>
        <v>2007.0667945166349</v>
      </c>
      <c r="I46" s="34">
        <f t="shared" si="2"/>
        <v>11122.223842450885</v>
      </c>
    </row>
    <row r="47" spans="6:9" x14ac:dyDescent="0.3">
      <c r="F47">
        <v>42</v>
      </c>
      <c r="G47" s="34">
        <f t="shared" si="0"/>
        <v>9206.3086184135936</v>
      </c>
      <c r="H47" s="34">
        <f t="shared" si="1"/>
        <v>1915.9152240372921</v>
      </c>
      <c r="I47" s="34">
        <f t="shared" si="2"/>
        <v>11122.223842450885</v>
      </c>
    </row>
    <row r="48" spans="6:9" x14ac:dyDescent="0.3">
      <c r="F48">
        <v>43</v>
      </c>
      <c r="G48" s="34">
        <f t="shared" si="0"/>
        <v>9298.3717045977301</v>
      </c>
      <c r="H48" s="34">
        <f t="shared" si="1"/>
        <v>1823.8521378531561</v>
      </c>
      <c r="I48" s="34">
        <f t="shared" si="2"/>
        <v>11122.223842450887</v>
      </c>
    </row>
    <row r="49" spans="6:9" x14ac:dyDescent="0.3">
      <c r="F49">
        <v>44</v>
      </c>
      <c r="G49" s="34">
        <f t="shared" si="0"/>
        <v>9391.355421643706</v>
      </c>
      <c r="H49" s="34">
        <f t="shared" si="1"/>
        <v>1730.8684208071788</v>
      </c>
      <c r="I49" s="34">
        <f t="shared" si="2"/>
        <v>11122.223842450885</v>
      </c>
    </row>
    <row r="50" spans="6:9" x14ac:dyDescent="0.3">
      <c r="F50">
        <v>45</v>
      </c>
      <c r="G50" s="34">
        <f t="shared" si="0"/>
        <v>9485.2689758601446</v>
      </c>
      <c r="H50" s="34">
        <f t="shared" si="1"/>
        <v>1636.9548665907419</v>
      </c>
      <c r="I50" s="34">
        <f t="shared" si="2"/>
        <v>11122.223842450887</v>
      </c>
    </row>
    <row r="51" spans="6:9" x14ac:dyDescent="0.3">
      <c r="F51">
        <v>46</v>
      </c>
      <c r="G51" s="34">
        <f t="shared" si="0"/>
        <v>9580.1216656187462</v>
      </c>
      <c r="H51" s="34">
        <f t="shared" si="1"/>
        <v>1542.10217683214</v>
      </c>
      <c r="I51" s="34">
        <f t="shared" si="2"/>
        <v>11122.223842450887</v>
      </c>
    </row>
    <row r="52" spans="6:9" x14ac:dyDescent="0.3">
      <c r="F52">
        <v>47</v>
      </c>
      <c r="G52" s="34">
        <f t="shared" si="0"/>
        <v>9675.9228822749337</v>
      </c>
      <c r="H52" s="34">
        <f t="shared" si="1"/>
        <v>1446.3009601759527</v>
      </c>
      <c r="I52" s="34">
        <f t="shared" si="2"/>
        <v>11122.223842450887</v>
      </c>
    </row>
    <row r="53" spans="6:9" x14ac:dyDescent="0.3">
      <c r="F53">
        <v>48</v>
      </c>
      <c r="G53" s="34">
        <f t="shared" si="0"/>
        <v>9772.6821110976834</v>
      </c>
      <c r="H53" s="34">
        <f t="shared" si="1"/>
        <v>1349.5417313532034</v>
      </c>
      <c r="I53" s="34">
        <f t="shared" si="2"/>
        <v>11122.223842450887</v>
      </c>
    </row>
    <row r="54" spans="6:9" x14ac:dyDescent="0.3">
      <c r="F54">
        <v>49</v>
      </c>
      <c r="G54" s="34">
        <f t="shared" si="0"/>
        <v>9870.4089322086584</v>
      </c>
      <c r="H54" s="34">
        <f t="shared" si="1"/>
        <v>1251.8149102422267</v>
      </c>
      <c r="I54" s="34">
        <f t="shared" si="2"/>
        <v>11122.223842450885</v>
      </c>
    </row>
    <row r="55" spans="6:9" x14ac:dyDescent="0.3">
      <c r="F55">
        <v>50</v>
      </c>
      <c r="G55" s="34">
        <f t="shared" si="0"/>
        <v>9969.1130215307476</v>
      </c>
      <c r="H55" s="34">
        <f t="shared" si="1"/>
        <v>1153.11082092014</v>
      </c>
      <c r="I55" s="34">
        <f t="shared" si="2"/>
        <v>11122.223842450887</v>
      </c>
    </row>
    <row r="56" spans="6:9" x14ac:dyDescent="0.3">
      <c r="F56">
        <v>51</v>
      </c>
      <c r="G56" s="34">
        <f t="shared" si="0"/>
        <v>10068.804151746053</v>
      </c>
      <c r="H56" s="34">
        <f t="shared" si="1"/>
        <v>1053.4196907048324</v>
      </c>
      <c r="I56" s="34">
        <f t="shared" si="2"/>
        <v>11122.223842450885</v>
      </c>
    </row>
    <row r="57" spans="6:9" x14ac:dyDescent="0.3">
      <c r="F57">
        <v>52</v>
      </c>
      <c r="G57" s="34">
        <f t="shared" si="0"/>
        <v>10169.492193263515</v>
      </c>
      <c r="H57" s="34">
        <f t="shared" si="1"/>
        <v>952.731649187372</v>
      </c>
      <c r="I57" s="34">
        <f t="shared" si="2"/>
        <v>11122.223842450887</v>
      </c>
    </row>
    <row r="58" spans="6:9" x14ac:dyDescent="0.3">
      <c r="F58">
        <v>53</v>
      </c>
      <c r="G58" s="34">
        <f t="shared" si="0"/>
        <v>10271.187115196148</v>
      </c>
      <c r="H58" s="34">
        <f t="shared" si="1"/>
        <v>851.03672725473677</v>
      </c>
      <c r="I58" s="34">
        <f t="shared" si="2"/>
        <v>11122.223842450885</v>
      </c>
    </row>
    <row r="59" spans="6:9" x14ac:dyDescent="0.3">
      <c r="F59">
        <v>54</v>
      </c>
      <c r="G59" s="34">
        <f t="shared" si="0"/>
        <v>10373.898986348109</v>
      </c>
      <c r="H59" s="34">
        <f t="shared" si="1"/>
        <v>748.32485610277513</v>
      </c>
      <c r="I59" s="34">
        <f t="shared" si="2"/>
        <v>11122.223842450885</v>
      </c>
    </row>
    <row r="60" spans="6:9" x14ac:dyDescent="0.3">
      <c r="F60">
        <v>55</v>
      </c>
      <c r="G60" s="34">
        <f t="shared" si="0"/>
        <v>10477.637976211592</v>
      </c>
      <c r="H60" s="34">
        <f t="shared" si="1"/>
        <v>644.58586623929409</v>
      </c>
      <c r="I60" s="34">
        <f t="shared" si="2"/>
        <v>11122.223842450887</v>
      </c>
    </row>
    <row r="61" spans="6:9" x14ac:dyDescent="0.3">
      <c r="F61">
        <v>56</v>
      </c>
      <c r="G61" s="34">
        <f t="shared" si="0"/>
        <v>10582.414355973706</v>
      </c>
      <c r="H61" s="34">
        <f t="shared" si="1"/>
        <v>539.8094864771781</v>
      </c>
      <c r="I61" s="34">
        <f t="shared" si="2"/>
        <v>11122.223842450883</v>
      </c>
    </row>
    <row r="62" spans="6:9" x14ac:dyDescent="0.3">
      <c r="F62">
        <v>57</v>
      </c>
      <c r="G62" s="34">
        <f t="shared" si="0"/>
        <v>10688.238499533445</v>
      </c>
      <c r="H62" s="34">
        <f t="shared" si="1"/>
        <v>433.98534291744102</v>
      </c>
      <c r="I62" s="34">
        <f t="shared" si="2"/>
        <v>11122.223842450887</v>
      </c>
    </row>
    <row r="63" spans="6:9" x14ac:dyDescent="0.3">
      <c r="F63">
        <v>58</v>
      </c>
      <c r="G63" s="34">
        <f t="shared" si="0"/>
        <v>10795.12088452878</v>
      </c>
      <c r="H63" s="34">
        <f t="shared" si="1"/>
        <v>327.10295792210661</v>
      </c>
      <c r="I63" s="34">
        <f t="shared" si="2"/>
        <v>11122.223842450887</v>
      </c>
    </row>
    <row r="64" spans="6:9" x14ac:dyDescent="0.3">
      <c r="F64">
        <v>59</v>
      </c>
      <c r="G64" s="34">
        <f t="shared" si="0"/>
        <v>10903.072093374065</v>
      </c>
      <c r="H64" s="34">
        <f t="shared" si="1"/>
        <v>219.15174907681882</v>
      </c>
      <c r="I64" s="34">
        <f t="shared" si="2"/>
        <v>11122.223842450883</v>
      </c>
    </row>
    <row r="65" spans="6:9" x14ac:dyDescent="0.3">
      <c r="F65">
        <v>60</v>
      </c>
      <c r="G65" s="34">
        <f t="shared" si="0"/>
        <v>11012.102814307807</v>
      </c>
      <c r="H65" s="34">
        <f t="shared" si="1"/>
        <v>110.12102814307809</v>
      </c>
      <c r="I65" s="34">
        <f t="shared" si="2"/>
        <v>11122.223842450885</v>
      </c>
    </row>
    <row r="66" spans="6:9" x14ac:dyDescent="0.3">
      <c r="G66" s="34">
        <f>SUM(G6:G65)</f>
        <v>499999.99999999977</v>
      </c>
      <c r="H66" s="34">
        <f t="shared" ref="H66:I66" si="3">SUM(H6:H65)</f>
        <v>167333.43054705331</v>
      </c>
      <c r="I66" s="34">
        <f t="shared" si="3"/>
        <v>667333.43054705311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CA42-8D1E-4CE8-9F00-1612DCA368F7}">
  <sheetPr>
    <outlinePr summaryBelow="0"/>
  </sheetPr>
  <dimension ref="B1:G13"/>
  <sheetViews>
    <sheetView showGridLines="0" workbookViewId="0">
      <selection activeCell="B2" sqref="B2:H13"/>
    </sheetView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36" t="s">
        <v>58</v>
      </c>
      <c r="C2" s="36"/>
      <c r="D2" s="29"/>
      <c r="E2" s="29"/>
      <c r="F2" s="29"/>
      <c r="G2" s="29"/>
    </row>
    <row r="3" spans="2:7" ht="15.6" collapsed="1" x14ac:dyDescent="0.3">
      <c r="B3" s="35"/>
      <c r="C3" s="35"/>
      <c r="D3" s="30" t="s">
        <v>60</v>
      </c>
      <c r="E3" s="30" t="s">
        <v>83</v>
      </c>
      <c r="F3" s="30" t="s">
        <v>85</v>
      </c>
      <c r="G3" s="30" t="s">
        <v>86</v>
      </c>
    </row>
    <row r="4" spans="2:7" ht="20.399999999999999" hidden="1" outlineLevel="1" x14ac:dyDescent="0.3">
      <c r="B4" s="37"/>
      <c r="C4" s="37"/>
      <c r="D4" s="26"/>
      <c r="E4" s="32" t="s">
        <v>84</v>
      </c>
      <c r="F4" s="32" t="s">
        <v>84</v>
      </c>
      <c r="G4" s="32" t="s">
        <v>84</v>
      </c>
    </row>
    <row r="5" spans="2:7" x14ac:dyDescent="0.3">
      <c r="B5" s="38" t="s">
        <v>59</v>
      </c>
      <c r="C5" s="38"/>
      <c r="D5" s="28"/>
      <c r="E5" s="28"/>
      <c r="F5" s="28"/>
      <c r="G5" s="28"/>
    </row>
    <row r="6" spans="2:7" outlineLevel="1" x14ac:dyDescent="0.3">
      <c r="B6" s="37"/>
      <c r="C6" s="37" t="s">
        <v>78</v>
      </c>
      <c r="D6" s="26">
        <v>600</v>
      </c>
      <c r="E6" s="31">
        <v>200</v>
      </c>
      <c r="F6" s="31">
        <v>400</v>
      </c>
      <c r="G6" s="31">
        <v>800</v>
      </c>
    </row>
    <row r="7" spans="2:7" outlineLevel="1" x14ac:dyDescent="0.3">
      <c r="B7" s="37"/>
      <c r="C7" s="37" t="s">
        <v>79</v>
      </c>
      <c r="D7" s="26">
        <v>700</v>
      </c>
      <c r="E7" s="31">
        <v>400</v>
      </c>
      <c r="F7" s="31">
        <v>800</v>
      </c>
      <c r="G7" s="31">
        <v>1200</v>
      </c>
    </row>
    <row r="8" spans="2:7" outlineLevel="1" x14ac:dyDescent="0.3">
      <c r="B8" s="37"/>
      <c r="C8" s="37" t="s">
        <v>80</v>
      </c>
      <c r="D8" s="26">
        <v>900</v>
      </c>
      <c r="E8" s="31">
        <v>600</v>
      </c>
      <c r="F8" s="31">
        <v>1200</v>
      </c>
      <c r="G8" s="31">
        <v>15000</v>
      </c>
    </row>
    <row r="9" spans="2:7" x14ac:dyDescent="0.3">
      <c r="B9" s="38" t="s">
        <v>61</v>
      </c>
      <c r="C9" s="38"/>
      <c r="D9" s="28"/>
      <c r="E9" s="28"/>
      <c r="F9" s="28"/>
      <c r="G9" s="28"/>
    </row>
    <row r="10" spans="2:7" ht="15" outlineLevel="1" thickBot="1" x14ac:dyDescent="0.35">
      <c r="B10" s="39"/>
      <c r="C10" s="39" t="s">
        <v>82</v>
      </c>
      <c r="D10" s="27">
        <v>2200</v>
      </c>
      <c r="E10" s="27">
        <v>1200</v>
      </c>
      <c r="F10" s="27">
        <v>2400</v>
      </c>
      <c r="G10" s="27">
        <v>17000</v>
      </c>
    </row>
    <row r="11" spans="2:7" x14ac:dyDescent="0.3">
      <c r="B11" t="s">
        <v>62</v>
      </c>
    </row>
    <row r="12" spans="2:7" x14ac:dyDescent="0.3">
      <c r="B12" t="s">
        <v>63</v>
      </c>
    </row>
    <row r="13" spans="2:7" x14ac:dyDescent="0.3">
      <c r="B13" t="s">
        <v>64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11B6-BD70-4522-8579-468A31505F43}">
  <dimension ref="C4:D8"/>
  <sheetViews>
    <sheetView zoomScale="160" zoomScaleNormal="160" workbookViewId="0">
      <selection activeCell="D8" sqref="D8"/>
    </sheetView>
  </sheetViews>
  <sheetFormatPr defaultRowHeight="14.4" x14ac:dyDescent="0.3"/>
  <cols>
    <col min="1" max="1" width="9.33203125" bestFit="1" customWidth="1"/>
    <col min="2" max="2" width="14.5546875" bestFit="1" customWidth="1"/>
    <col min="3" max="3" width="7.44140625" bestFit="1" customWidth="1"/>
  </cols>
  <sheetData>
    <row r="4" spans="3:4" x14ac:dyDescent="0.3">
      <c r="C4" t="s">
        <v>78</v>
      </c>
      <c r="D4">
        <v>600</v>
      </c>
    </row>
    <row r="5" spans="3:4" x14ac:dyDescent="0.3">
      <c r="C5" t="s">
        <v>79</v>
      </c>
      <c r="D5">
        <v>700</v>
      </c>
    </row>
    <row r="6" spans="3:4" x14ac:dyDescent="0.3">
      <c r="C6" t="s">
        <v>80</v>
      </c>
      <c r="D6">
        <v>900</v>
      </c>
    </row>
    <row r="8" spans="3:4" x14ac:dyDescent="0.3">
      <c r="C8" t="s">
        <v>81</v>
      </c>
      <c r="D8">
        <f>SUM(D4:D6)</f>
        <v>2200</v>
      </c>
    </row>
  </sheetData>
  <scenarios current="0" sqref="D8">
    <scenario name="Shop1" locked="1" count="3" user="pc" comment="Created by pc on 16-05-2026">
      <inputCells r="D4" val="200"/>
      <inputCells r="D5" val="400"/>
      <inputCells r="D6" val="600"/>
    </scenario>
    <scenario name="Shop2" locked="1" count="3" user="pc" comment="Created by pc on 16-05-2026">
      <inputCells r="D4" val="400"/>
      <inputCells r="D5" val="800"/>
      <inputCells r="D6" val="1200"/>
    </scenario>
    <scenario name="Shop3" locked="1" count="3" user="pc" comment="Created by pc on 16-05-2026">
      <inputCells r="D4" val="800"/>
      <inputCells r="D5" val="1200"/>
      <inputCells r="D6" val="15000"/>
    </scenario>
  </scenario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626C-C0C7-4122-8177-F558C048E03E}">
  <dimension ref="A1:I26"/>
  <sheetViews>
    <sheetView zoomScaleNormal="100" workbookViewId="0">
      <selection activeCell="K15" sqref="K15"/>
    </sheetView>
  </sheetViews>
  <sheetFormatPr defaultRowHeight="14.4" x14ac:dyDescent="0.3"/>
  <cols>
    <col min="1" max="1" width="9.6640625" bestFit="1" customWidth="1"/>
    <col min="8" max="8" width="8.77734375" bestFit="1" customWidth="1"/>
    <col min="9" max="9" width="13.21875" bestFit="1" customWidth="1"/>
    <col min="10" max="10" width="8.88671875" customWidth="1"/>
  </cols>
  <sheetData>
    <row r="1" spans="1:9" x14ac:dyDescent="0.3">
      <c r="A1" s="20" t="s">
        <v>11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  <c r="G1" s="8" t="s">
        <v>17</v>
      </c>
      <c r="H1" s="21" t="s">
        <v>18</v>
      </c>
      <c r="I1" s="22" t="s">
        <v>19</v>
      </c>
    </row>
    <row r="2" spans="1:9" x14ac:dyDescent="0.3">
      <c r="A2" s="15">
        <v>43361</v>
      </c>
      <c r="B2" s="9" t="s">
        <v>27</v>
      </c>
      <c r="C2" s="9" t="s">
        <v>28</v>
      </c>
      <c r="D2" s="9" t="s">
        <v>34</v>
      </c>
      <c r="E2" s="9" t="s">
        <v>46</v>
      </c>
      <c r="F2" s="9">
        <v>16</v>
      </c>
      <c r="G2" s="9">
        <v>58.5</v>
      </c>
      <c r="H2" s="9">
        <v>936</v>
      </c>
      <c r="I2" s="10" t="s">
        <v>43</v>
      </c>
    </row>
    <row r="3" spans="1:9" x14ac:dyDescent="0.3">
      <c r="A3" s="15">
        <v>43429</v>
      </c>
      <c r="B3" s="9" t="s">
        <v>20</v>
      </c>
      <c r="C3" s="9" t="s">
        <v>35</v>
      </c>
      <c r="D3" s="9" t="s">
        <v>36</v>
      </c>
      <c r="E3" s="9" t="s">
        <v>46</v>
      </c>
      <c r="F3" s="9">
        <v>96</v>
      </c>
      <c r="G3" s="9">
        <v>58.5</v>
      </c>
      <c r="H3" s="9">
        <v>5616</v>
      </c>
      <c r="I3" s="10" t="s">
        <v>24</v>
      </c>
    </row>
    <row r="4" spans="1:9" x14ac:dyDescent="0.3">
      <c r="A4" s="15">
        <v>43344</v>
      </c>
      <c r="B4" s="9" t="s">
        <v>20</v>
      </c>
      <c r="C4" s="9" t="s">
        <v>31</v>
      </c>
      <c r="D4" s="9" t="s">
        <v>38</v>
      </c>
      <c r="E4" s="9" t="s">
        <v>37</v>
      </c>
      <c r="F4" s="9">
        <v>2</v>
      </c>
      <c r="G4" s="9">
        <v>125</v>
      </c>
      <c r="H4" s="9">
        <v>250</v>
      </c>
      <c r="I4" s="10" t="s">
        <v>24</v>
      </c>
    </row>
    <row r="5" spans="1:9" x14ac:dyDescent="0.3">
      <c r="A5" s="16">
        <v>43701</v>
      </c>
      <c r="B5" s="11" t="s">
        <v>25</v>
      </c>
      <c r="C5" s="11" t="s">
        <v>21</v>
      </c>
      <c r="D5" s="11" t="s">
        <v>26</v>
      </c>
      <c r="E5" s="11" t="s">
        <v>37</v>
      </c>
      <c r="F5" s="11">
        <v>3</v>
      </c>
      <c r="G5" s="11">
        <v>125</v>
      </c>
      <c r="H5" s="11">
        <v>375</v>
      </c>
      <c r="I5" s="12" t="s">
        <v>30</v>
      </c>
    </row>
    <row r="6" spans="1:9" x14ac:dyDescent="0.3">
      <c r="A6" s="15">
        <v>43157</v>
      </c>
      <c r="B6" s="9" t="s">
        <v>20</v>
      </c>
      <c r="C6" s="9" t="s">
        <v>21</v>
      </c>
      <c r="D6" s="9" t="s">
        <v>22</v>
      </c>
      <c r="E6" s="9" t="s">
        <v>23</v>
      </c>
      <c r="F6" s="9">
        <v>27</v>
      </c>
      <c r="G6" s="9">
        <v>225</v>
      </c>
      <c r="H6" s="9">
        <v>6075</v>
      </c>
      <c r="I6" s="10" t="s">
        <v>24</v>
      </c>
    </row>
    <row r="7" spans="1:9" x14ac:dyDescent="0.3">
      <c r="A7" s="15">
        <v>43395</v>
      </c>
      <c r="B7" s="9" t="s">
        <v>27</v>
      </c>
      <c r="C7" s="9" t="s">
        <v>28</v>
      </c>
      <c r="D7" s="9" t="s">
        <v>34</v>
      </c>
      <c r="E7" s="9" t="s">
        <v>23</v>
      </c>
      <c r="F7" s="9">
        <v>64</v>
      </c>
      <c r="G7" s="9">
        <v>225</v>
      </c>
      <c r="H7" s="9">
        <v>14400</v>
      </c>
      <c r="I7" s="10" t="s">
        <v>24</v>
      </c>
    </row>
    <row r="8" spans="1:9" x14ac:dyDescent="0.3">
      <c r="A8" s="16">
        <v>43412</v>
      </c>
      <c r="B8" s="11" t="s">
        <v>27</v>
      </c>
      <c r="C8" s="11" t="s">
        <v>31</v>
      </c>
      <c r="D8" s="11" t="s">
        <v>32</v>
      </c>
      <c r="E8" s="11" t="s">
        <v>23</v>
      </c>
      <c r="F8" s="11">
        <v>15</v>
      </c>
      <c r="G8" s="11">
        <v>225</v>
      </c>
      <c r="H8" s="11">
        <v>3375</v>
      </c>
      <c r="I8" s="11" t="s">
        <v>33</v>
      </c>
    </row>
    <row r="9" spans="1:9" x14ac:dyDescent="0.3">
      <c r="A9" s="15">
        <v>43123</v>
      </c>
      <c r="B9" s="9" t="s">
        <v>20</v>
      </c>
      <c r="C9" s="9" t="s">
        <v>35</v>
      </c>
      <c r="D9" s="9" t="s">
        <v>36</v>
      </c>
      <c r="E9" s="9" t="s">
        <v>39</v>
      </c>
      <c r="F9" s="9">
        <v>50</v>
      </c>
      <c r="G9" s="9">
        <v>500</v>
      </c>
      <c r="H9" s="9">
        <v>25000</v>
      </c>
      <c r="I9" s="9" t="s">
        <v>30</v>
      </c>
    </row>
    <row r="10" spans="1:9" x14ac:dyDescent="0.3">
      <c r="A10" s="15">
        <v>43191</v>
      </c>
      <c r="B10" s="9" t="s">
        <v>27</v>
      </c>
      <c r="C10" s="9" t="s">
        <v>28</v>
      </c>
      <c r="D10" s="9" t="s">
        <v>34</v>
      </c>
      <c r="E10" s="9" t="s">
        <v>39</v>
      </c>
      <c r="F10" s="9">
        <v>60</v>
      </c>
      <c r="G10" s="9">
        <v>500</v>
      </c>
      <c r="H10" s="9">
        <v>30000</v>
      </c>
      <c r="I10" s="9" t="s">
        <v>30</v>
      </c>
    </row>
    <row r="11" spans="1:9" x14ac:dyDescent="0.3">
      <c r="A11" s="15">
        <v>43259</v>
      </c>
      <c r="B11" s="9" t="s">
        <v>27</v>
      </c>
      <c r="C11" s="9" t="s">
        <v>28</v>
      </c>
      <c r="D11" s="9" t="s">
        <v>34</v>
      </c>
      <c r="E11" s="9" t="s">
        <v>39</v>
      </c>
      <c r="F11" s="9">
        <v>60</v>
      </c>
      <c r="G11" s="9">
        <v>500</v>
      </c>
      <c r="H11" s="9">
        <v>30000</v>
      </c>
      <c r="I11" s="9" t="s">
        <v>43</v>
      </c>
    </row>
    <row r="12" spans="1:9" x14ac:dyDescent="0.3">
      <c r="A12" s="15">
        <v>43293</v>
      </c>
      <c r="B12" s="9" t="s">
        <v>27</v>
      </c>
      <c r="C12" s="9" t="s">
        <v>28</v>
      </c>
      <c r="D12" s="9" t="s">
        <v>29</v>
      </c>
      <c r="E12" s="9" t="s">
        <v>39</v>
      </c>
      <c r="F12" s="9">
        <v>29</v>
      </c>
      <c r="G12" s="9">
        <v>500</v>
      </c>
      <c r="H12" s="9">
        <v>14500</v>
      </c>
      <c r="I12" s="9" t="s">
        <v>33</v>
      </c>
    </row>
    <row r="13" spans="1:9" x14ac:dyDescent="0.3">
      <c r="A13" s="16">
        <v>43310</v>
      </c>
      <c r="B13" s="11" t="s">
        <v>27</v>
      </c>
      <c r="C13" s="11" t="s">
        <v>31</v>
      </c>
      <c r="D13" s="11" t="s">
        <v>32</v>
      </c>
      <c r="E13" s="11" t="s">
        <v>39</v>
      </c>
      <c r="F13" s="11">
        <v>81</v>
      </c>
      <c r="G13" s="11">
        <v>500</v>
      </c>
      <c r="H13" s="11">
        <v>40500</v>
      </c>
      <c r="I13" s="11" t="s">
        <v>24</v>
      </c>
    </row>
    <row r="14" spans="1:9" x14ac:dyDescent="0.3">
      <c r="A14" s="16">
        <v>43378</v>
      </c>
      <c r="B14" s="11" t="s">
        <v>20</v>
      </c>
      <c r="C14" s="11" t="s">
        <v>35</v>
      </c>
      <c r="D14" s="11" t="s">
        <v>40</v>
      </c>
      <c r="E14" s="11" t="s">
        <v>39</v>
      </c>
      <c r="F14" s="11">
        <v>28</v>
      </c>
      <c r="G14" s="11">
        <v>500</v>
      </c>
      <c r="H14" s="11">
        <v>14000</v>
      </c>
      <c r="I14" s="12" t="s">
        <v>30</v>
      </c>
    </row>
    <row r="15" spans="1:9" x14ac:dyDescent="0.3">
      <c r="A15" s="16">
        <v>43514</v>
      </c>
      <c r="B15" s="11" t="s">
        <v>27</v>
      </c>
      <c r="C15" s="11" t="s">
        <v>28</v>
      </c>
      <c r="D15" s="11" t="s">
        <v>34</v>
      </c>
      <c r="E15" s="11" t="s">
        <v>39</v>
      </c>
      <c r="F15" s="11">
        <v>4</v>
      </c>
      <c r="G15" s="11">
        <v>500</v>
      </c>
      <c r="H15" s="11">
        <v>2000</v>
      </c>
      <c r="I15" s="12" t="s">
        <v>30</v>
      </c>
    </row>
    <row r="16" spans="1:9" x14ac:dyDescent="0.3">
      <c r="A16" s="15">
        <v>43616</v>
      </c>
      <c r="B16" s="9" t="s">
        <v>20</v>
      </c>
      <c r="C16" s="9" t="s">
        <v>21</v>
      </c>
      <c r="D16" s="9" t="s">
        <v>22</v>
      </c>
      <c r="E16" s="9" t="s">
        <v>39</v>
      </c>
      <c r="F16" s="9">
        <v>80</v>
      </c>
      <c r="G16" s="9">
        <v>500</v>
      </c>
      <c r="H16" s="9">
        <v>40000</v>
      </c>
      <c r="I16" s="10" t="s">
        <v>30</v>
      </c>
    </row>
    <row r="17" spans="1:9" x14ac:dyDescent="0.3">
      <c r="A17" s="16">
        <v>43803</v>
      </c>
      <c r="B17" s="11" t="s">
        <v>20</v>
      </c>
      <c r="C17" s="11" t="s">
        <v>35</v>
      </c>
      <c r="D17" s="11" t="s">
        <v>41</v>
      </c>
      <c r="E17" s="11" t="s">
        <v>39</v>
      </c>
      <c r="F17" s="11">
        <v>94</v>
      </c>
      <c r="G17" s="11">
        <v>500</v>
      </c>
      <c r="H17" s="11">
        <v>47000</v>
      </c>
      <c r="I17" s="12" t="s">
        <v>30</v>
      </c>
    </row>
    <row r="18" spans="1:9" x14ac:dyDescent="0.3">
      <c r="A18" s="15">
        <v>43106</v>
      </c>
      <c r="B18" s="9" t="s">
        <v>27</v>
      </c>
      <c r="C18" s="9" t="s">
        <v>28</v>
      </c>
      <c r="D18" s="9" t="s">
        <v>34</v>
      </c>
      <c r="E18" s="9" t="s">
        <v>45</v>
      </c>
      <c r="F18" s="9">
        <v>95</v>
      </c>
      <c r="G18" s="9">
        <v>1198</v>
      </c>
      <c r="H18" s="9">
        <v>113810</v>
      </c>
      <c r="I18" s="10" t="s">
        <v>43</v>
      </c>
    </row>
    <row r="19" spans="1:9" x14ac:dyDescent="0.3">
      <c r="A19" s="15">
        <v>43140</v>
      </c>
      <c r="B19" s="9" t="s">
        <v>20</v>
      </c>
      <c r="C19" s="9" t="s">
        <v>35</v>
      </c>
      <c r="D19" s="9" t="s">
        <v>41</v>
      </c>
      <c r="E19" s="9" t="s">
        <v>45</v>
      </c>
      <c r="F19" s="9">
        <v>36</v>
      </c>
      <c r="G19" s="9">
        <v>1198</v>
      </c>
      <c r="H19" s="9">
        <v>43128</v>
      </c>
      <c r="I19" s="10" t="s">
        <v>33</v>
      </c>
    </row>
    <row r="20" spans="1:9" x14ac:dyDescent="0.3">
      <c r="A20" s="16">
        <v>43174</v>
      </c>
      <c r="B20" s="11" t="s">
        <v>25</v>
      </c>
      <c r="C20" s="11" t="s">
        <v>21</v>
      </c>
      <c r="D20" s="11" t="s">
        <v>26</v>
      </c>
      <c r="E20" s="11" t="s">
        <v>45</v>
      </c>
      <c r="F20" s="11">
        <v>56</v>
      </c>
      <c r="G20" s="11">
        <v>1198</v>
      </c>
      <c r="H20" s="11">
        <v>67088</v>
      </c>
      <c r="I20" s="11" t="s">
        <v>43</v>
      </c>
    </row>
    <row r="21" spans="1:9" x14ac:dyDescent="0.3">
      <c r="A21" s="15">
        <v>43208</v>
      </c>
      <c r="B21" s="9" t="s">
        <v>20</v>
      </c>
      <c r="C21" s="9" t="s">
        <v>28</v>
      </c>
      <c r="D21" s="9" t="s">
        <v>42</v>
      </c>
      <c r="E21" s="9" t="s">
        <v>45</v>
      </c>
      <c r="F21" s="9">
        <v>75</v>
      </c>
      <c r="G21" s="9">
        <v>1198</v>
      </c>
      <c r="H21" s="9">
        <v>89850</v>
      </c>
      <c r="I21" s="9" t="s">
        <v>33</v>
      </c>
    </row>
    <row r="22" spans="1:9" x14ac:dyDescent="0.3">
      <c r="A22" s="15">
        <v>43225</v>
      </c>
      <c r="B22" s="9" t="s">
        <v>20</v>
      </c>
      <c r="C22" s="9" t="s">
        <v>35</v>
      </c>
      <c r="D22" s="9" t="s">
        <v>41</v>
      </c>
      <c r="E22" s="9" t="s">
        <v>45</v>
      </c>
      <c r="F22" s="9">
        <v>90</v>
      </c>
      <c r="G22" s="9">
        <v>1198</v>
      </c>
      <c r="H22" s="9">
        <v>107820</v>
      </c>
      <c r="I22" s="9" t="s">
        <v>43</v>
      </c>
    </row>
    <row r="23" spans="1:9" x14ac:dyDescent="0.3">
      <c r="A23" s="15">
        <v>43242</v>
      </c>
      <c r="B23" s="9" t="s">
        <v>25</v>
      </c>
      <c r="C23" s="9" t="s">
        <v>31</v>
      </c>
      <c r="D23" s="9" t="s">
        <v>44</v>
      </c>
      <c r="E23" s="9" t="s">
        <v>45</v>
      </c>
      <c r="F23" s="9">
        <v>32</v>
      </c>
      <c r="G23" s="9">
        <v>1198</v>
      </c>
      <c r="H23" s="9">
        <v>38336</v>
      </c>
      <c r="I23" s="9" t="s">
        <v>30</v>
      </c>
    </row>
    <row r="24" spans="1:9" x14ac:dyDescent="0.3">
      <c r="A24" s="16">
        <v>43276</v>
      </c>
      <c r="B24" s="11" t="s">
        <v>20</v>
      </c>
      <c r="C24" s="11" t="s">
        <v>35</v>
      </c>
      <c r="D24" s="11" t="s">
        <v>40</v>
      </c>
      <c r="E24" s="11" t="s">
        <v>45</v>
      </c>
      <c r="F24" s="11">
        <v>90</v>
      </c>
      <c r="G24" s="11">
        <v>1198</v>
      </c>
      <c r="H24" s="11">
        <v>107820</v>
      </c>
      <c r="I24" s="11" t="s">
        <v>30</v>
      </c>
    </row>
    <row r="25" spans="1:9" x14ac:dyDescent="0.3">
      <c r="A25" s="15">
        <v>43327</v>
      </c>
      <c r="B25" s="9" t="s">
        <v>27</v>
      </c>
      <c r="C25" s="9" t="s">
        <v>28</v>
      </c>
      <c r="D25" s="9" t="s">
        <v>34</v>
      </c>
      <c r="E25" s="9" t="s">
        <v>45</v>
      </c>
      <c r="F25" s="9">
        <v>35</v>
      </c>
      <c r="G25" s="9">
        <v>1198</v>
      </c>
      <c r="H25" s="9">
        <v>41930</v>
      </c>
      <c r="I25" s="10" t="s">
        <v>33</v>
      </c>
    </row>
    <row r="26" spans="1:9" x14ac:dyDescent="0.3">
      <c r="A26" s="15">
        <v>43446</v>
      </c>
      <c r="B26" s="9" t="s">
        <v>20</v>
      </c>
      <c r="C26" s="9" t="s">
        <v>31</v>
      </c>
      <c r="D26" s="9" t="s">
        <v>38</v>
      </c>
      <c r="E26" s="9" t="s">
        <v>45</v>
      </c>
      <c r="F26" s="9">
        <v>67</v>
      </c>
      <c r="G26" s="9">
        <v>1198</v>
      </c>
      <c r="H26" s="9">
        <v>80266</v>
      </c>
      <c r="I26" s="10" t="s">
        <v>33</v>
      </c>
    </row>
  </sheetData>
  <autoFilter ref="A1:I26" xr:uid="{BEB41E9D-6A01-454A-91CF-6791C2F8A97D}">
    <sortState ref="A2:I26">
      <sortCondition ref="A1"/>
    </sortState>
  </autoFilter>
  <sortState ref="A2:I28">
    <sortCondition ref="G2:G2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7DE4-E25C-4977-B139-FCAEEA3F03CE}">
  <dimension ref="C3:D6"/>
  <sheetViews>
    <sheetView topLeftCell="A4" zoomScale="160" zoomScaleNormal="160" workbookViewId="0">
      <selection activeCell="B2" sqref="B2:F10"/>
    </sheetView>
  </sheetViews>
  <sheetFormatPr defaultRowHeight="14.4" x14ac:dyDescent="0.3"/>
  <sheetData>
    <row r="3" spans="3:4" x14ac:dyDescent="0.3">
      <c r="C3" t="s">
        <v>53</v>
      </c>
      <c r="D3">
        <v>250</v>
      </c>
    </row>
    <row r="4" spans="3:4" x14ac:dyDescent="0.3">
      <c r="C4" t="s">
        <v>76</v>
      </c>
      <c r="D4">
        <v>50</v>
      </c>
    </row>
    <row r="6" spans="3:4" x14ac:dyDescent="0.3">
      <c r="C6" t="s">
        <v>77</v>
      </c>
      <c r="D6">
        <f>D3*D4</f>
        <v>12500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FE1FBF-7896-4D8B-B666-00495E0136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Practice Date Formule</vt:lpstr>
      <vt:lpstr>Sheet9</vt:lpstr>
      <vt:lpstr>Some Advance Maths</vt:lpstr>
      <vt:lpstr>Sheet4</vt:lpstr>
      <vt:lpstr>Sheet5</vt:lpstr>
      <vt:lpstr>Sheet7</vt:lpstr>
      <vt:lpstr>Sheet1</vt:lpstr>
      <vt:lpstr>Scenario Summary</vt:lpstr>
      <vt:lpstr>Sheet3</vt:lpstr>
      <vt:lpstr>Sheet2</vt:lpstr>
      <vt:lpstr>Sheet6</vt:lpstr>
      <vt:lpstr>ProductUnit</vt:lpstr>
      <vt:lpstr>Total_Income</vt:lpstr>
      <vt:lpstr>Total_Profit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2026-05-16T10:13:17Z</dcterms:modified>
</cp:coreProperties>
</file>