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Sajid Sir Data Analytics\Excel_Practice_Files\"/>
    </mc:Choice>
  </mc:AlternateContent>
  <xr:revisionPtr revIDLastSave="0" documentId="13_ncr:1_{F408C1AB-C37A-4157-9755-D01649EA2E85}" xr6:coauthVersionLast="36" xr6:coauthVersionMax="36" xr10:uidLastSave="{00000000-0000-0000-0000-000000000000}"/>
  <bookViews>
    <workbookView xWindow="0" yWindow="0" windowWidth="22260" windowHeight="12648" firstSheet="1" activeTab="9" xr2:uid="{00000000-000D-0000-FFFF-FFFF00000000}"/>
  </bookViews>
  <sheets>
    <sheet name="Practice Date Formule" sheetId="1" r:id="rId1"/>
    <sheet name="Sheet4" sheetId="6" r:id="rId2"/>
    <sheet name="Sheet1" sheetId="10" r:id="rId3"/>
    <sheet name="Sheet2" sheetId="11" r:id="rId4"/>
    <sheet name="Sheet8" sheetId="15" r:id="rId5"/>
    <sheet name="Sheet9" sheetId="16" r:id="rId6"/>
    <sheet name="Sheet5" sheetId="7" r:id="rId7"/>
    <sheet name="Sheet7" sheetId="14" r:id="rId8"/>
    <sheet name="Sheet10" sheetId="17" r:id="rId9"/>
    <sheet name="Sheet6" sheetId="8" r:id="rId10"/>
  </sheets>
  <definedNames>
    <definedName name="NativeTimeline_OrderDate">#N/A</definedName>
    <definedName name="Total_Profit">Sheet2!$F$14</definedName>
    <definedName name="Unit_Sales">Sheet2!$F$7</definedName>
  </definedNames>
  <calcPr calcId="191029"/>
  <pivotCaches>
    <pivotCache cacheId="1" r:id="rId11"/>
    <pivotCache cacheId="2" r:id="rId12"/>
    <pivotCache cacheId="3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 s="1"/>
  <c r="A3" i="1"/>
  <c r="J3" i="1" l="1"/>
  <c r="I3" i="1"/>
  <c r="H3" i="1"/>
  <c r="G3" i="1"/>
  <c r="F3" i="1"/>
  <c r="E3" i="1"/>
  <c r="D3" i="1"/>
  <c r="F12" i="11"/>
  <c r="F13" i="11" s="1"/>
  <c r="F14" i="11" s="1"/>
  <c r="B5" i="11"/>
  <c r="I6" i="10"/>
  <c r="G5" i="10"/>
  <c r="D9" i="10"/>
  <c r="I7" i="6" l="1"/>
  <c r="F4" i="6"/>
  <c r="C8" i="6"/>
  <c r="B2" i="1" l="1"/>
  <c r="D2" i="1" s="1"/>
  <c r="A2" i="1"/>
  <c r="I2" i="1" s="1"/>
  <c r="G2" i="1" l="1"/>
  <c r="H2" i="1"/>
  <c r="F2" i="1"/>
  <c r="E2" i="1"/>
  <c r="C2" i="1"/>
</calcChain>
</file>

<file path=xl/sharedStrings.xml><?xml version="1.0" encoding="utf-8"?>
<sst xmlns="http://schemas.openxmlformats.org/spreadsheetml/2006/main" count="261" uniqueCount="59">
  <si>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</si>
  <si>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</si>
  <si>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</si>
  <si>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</si>
  <si>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</si>
  <si>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</si>
  <si>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</si>
  <si>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</si>
  <si>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</si>
  <si>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</si>
  <si>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</si>
  <si>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</si>
  <si>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</si>
  <si>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</si>
  <si>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</si>
  <si>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</si>
  <si>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</si>
  <si>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</si>
  <si>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</si>
  <si>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</si>
  <si>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</si>
  <si>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</si>
  <si>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</si>
  <si>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</si>
  <si>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</si>
  <si>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</si>
  <si>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</si>
  <si>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</si>
  <si>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</si>
  <si>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</si>
  <si>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</si>
  <si>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</si>
  <si>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</si>
  <si>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</si>
  <si>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</si>
  <si>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</si>
  <si>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</si>
  <si>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</si>
  <si>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</si>
  <si>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</si>
  <si>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</si>
  <si>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</si>
  <si>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</si>
  <si>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</si>
  <si>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</si>
  <si>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</si>
  <si>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</si>
  <si>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</si>
  <si>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</si>
  <si>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</si>
  <si>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Sales Unit</t>
  </si>
  <si>
    <t>Unit Price</t>
  </si>
  <si>
    <t>Amount</t>
  </si>
  <si>
    <t>Profit Per Unit</t>
  </si>
  <si>
    <t>Profit</t>
  </si>
  <si>
    <t>Without Profit</t>
  </si>
  <si>
    <t>Total Amount</t>
  </si>
  <si>
    <t>Sum of Unit_price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</si>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</sst>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  <xf numFmtId="0" fontId="0" fillId="5" borderId="5" xfId="0" applyFill="1" applyBorder="1"/>
    <xf numFmtId="14" fontId="0" fillId="4" borderId="3" xfId="0" applyNumberFormat="1" applyFont="1" applyFill="1" applyBorder="1"/>
    <xf numFmtId="14" fontId="0" fillId="0" borderId="3" xfId="0" applyNumberFormat="1" applyFont="1" applyBorder="1"/>
    <xf numFmtId="0" fontId="3" fillId="3" borderId="6" xfId="1" applyNumberFormat="1" applyFont="1" applyFill="1" applyBorder="1" applyAlignment="1"/>
    <xf numFmtId="43" fontId="1" fillId="3" borderId="6" xfId="2" applyNumberFormat="1" applyFont="1" applyFill="1" applyBorder="1" applyAlignment="1">
      <alignment horizontal="left" vertical="center"/>
    </xf>
    <xf numFmtId="0" fontId="3" fillId="3" borderId="7" xfId="1" applyNumberFormat="1" applyFont="1" applyFill="1" applyBorder="1" applyAlignment="1"/>
    <xf numFmtId="164" fontId="0" fillId="5" borderId="5" xfId="0" applyNumberFormat="1" applyFill="1" applyBorder="1"/>
    <xf numFmtId="1" fontId="0" fillId="5" borderId="5" xfId="0" applyNumberFormat="1" applyFill="1" applyBorder="1"/>
    <xf numFmtId="0" fontId="0" fillId="5" borderId="8" xfId="0" applyFill="1" applyBorder="1"/>
    <xf numFmtId="14" fontId="0" fillId="0" borderId="1" xfId="0" applyNumberFormat="1" applyFont="1" applyBorder="1"/>
    <xf numFmtId="14" fontId="0" fillId="0" borderId="0" xfId="0" applyNumberFormat="1" applyAlignment="1">
      <alignment horizontal="left" indent="1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52753</xdr:colOff>
      <xdr:row>3</xdr:row>
      <xdr:rowOff>56857</xdr:rowOff>
    </xdr:from>
    <xdr:to>
      <xdr:col>8</xdr:col>
      <xdr:colOff>442546</xdr:colOff>
      <xdr:row>12</xdr:row>
      <xdr:rowOff>158262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OrderDate">
              <a:extLst>
                <a:ext uri="{FF2B5EF4-FFF2-40B4-BE49-F238E27FC236}">
                  <a16:creationId xmlns:a16="http://schemas.microsoft.com/office/drawing/2014/main" id="{4B1CDC81-8228-4E78-878A-EDFEB1D88A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3215" y="601980"/>
              <a:ext cx="3437793" cy="17367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479315509256" createdVersion="6" refreshedVersion="6" minRefreshableVersion="3" recordCount="11" xr:uid="{F7E7FFFA-A372-472F-A90F-749A9634A4C3}">
  <cacheSource type="worksheet">
    <worksheetSource ref="A1:I12" sheet="Sheet6"/>
  </cacheSource>
  <cacheFields count="9">
    <cacheField name="OrderDate" numFmtId="14">
      <sharedItems containsSemiMixedTypes="0" containsNonDate="0" containsDate="1" containsString="0" minDate="2018-01-06T00:00:00" maxDate="2019-08-25T00:00:00"/>
    </cacheField>
    <cacheField name="Region" numFmtId="0">
      <sharedItems count="3">
        <s v="East"/>
        <s v="Central"/>
        <s v="West"/>
      </sharedItems>
    </cacheField>
    <cacheField name="Manager" numFmtId="0">
      <sharedItems/>
    </cacheField>
    <cacheField name="SalesMan" numFmtId="0">
      <sharedItems count="8">
        <s v="Alexander"/>
        <s v="Luis"/>
        <s v="David"/>
        <s v="Stephen"/>
        <s v="Steven"/>
        <s v="John"/>
        <s v="Shelli"/>
        <s v="Sigal"/>
      </sharedItems>
    </cacheField>
    <cacheField name="Item" numFmtId="0">
      <sharedItems/>
    </cacheField>
    <cacheField name="Units" numFmtId="0">
      <sharedItems containsSemiMixedTypes="0" containsString="0" containsNumber="1" containsInteger="1" minValue="2" maxValue="95"/>
    </cacheField>
    <cacheField name="Unit_price" numFmtId="0">
      <sharedItems containsSemiMixedTypes="0" containsString="0" containsNumber="1" containsInteger="1" minValue="12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 count="4">
        <s v="UPI"/>
        <s v="DEBIT CARD"/>
        <s v="NET BANKING"/>
        <s v="CASH"/>
      </sharedItems>
    </cacheField>
  </cacheFields>
  <extLst>
    <ext xmlns:x14="http://schemas.microsoft.com/office/spreadsheetml/2009/9/main" uri="{725AE2AE-9491-48be-B2B4-4EB974FC3084}">
      <x14:pivotCacheDefinition pivotCacheId="156114593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497821527781" createdVersion="6" refreshedVersion="6" minRefreshableVersion="3" recordCount="23" xr:uid="{3CE9168D-CD7B-43EA-A1CD-6F7E934C206A}">
  <cacheSource type="worksheet">
    <worksheetSource name="Table1"/>
  </cacheSource>
  <cacheFields count="9">
    <cacheField name="OrderDate" numFmtId="14">
      <sharedItems containsSemiMixedTypes="0" containsNonDate="0" containsDate="1" containsString="0" minDate="2018-01-06T00:00:00" maxDate="2019-12-05T00:00:00" count="2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10-05T00:00:00"/>
        <d v="2018-10-22T00:00:00"/>
        <d v="2018-11-08T00:00:00"/>
        <d v="2018-11-25T00:00:00"/>
        <d v="2019-02-18T00:00:00"/>
        <d v="2019-05-31T00:00:00"/>
        <d v="2019-08-24T00:00:00"/>
        <d v="2019-12-04T00:00:00"/>
      </sharedItems>
    </cacheField>
    <cacheField name="Region" numFmtId="0">
      <sharedItems count="3">
        <s v="East"/>
        <s v="Central"/>
        <s v="West"/>
      </sharedItems>
    </cacheField>
    <cacheField name="Manager" numFmtId="0">
      <sharedItems/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/>
    </cacheField>
  </cacheFields>
  <extLst>
    <ext xmlns:x14="http://schemas.microsoft.com/office/spreadsheetml/2009/9/main" uri="{725AE2AE-9491-48be-B2B4-4EB974FC3084}">
      <x14:pivotCacheDefinition pivotCacheId="51260010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500301736109" createdVersion="6" refreshedVersion="6" minRefreshableVersion="3" recordCount="23" xr:uid="{87BF1CDE-BF3B-4A5F-8DB4-57765477CF48}">
  <cacheSource type="worksheet">
    <worksheetSource name="Table1"/>
  </cacheSource>
  <cacheFields count="9">
    <cacheField name="OrderDate" numFmtId="14">
      <sharedItems containsSemiMixedTypes="0" containsNonDate="0" containsDate="1" containsString="0" minDate="2018-01-06T00:00:00" maxDate="2019-12-05T00:00:00" count="2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10-05T00:00:00"/>
        <d v="2018-10-22T00:00:00"/>
        <d v="2018-11-08T00:00:00"/>
        <d v="2018-11-25T00:00:00"/>
        <d v="2019-02-18T00:00:00"/>
        <d v="2019-05-31T00:00:00"/>
        <d v="2019-08-24T00:00:00"/>
        <d v="2019-12-04T00:00:00"/>
      </sharedItems>
    </cacheField>
    <cacheField name="Region" numFmtId="0">
      <sharedItems/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18-01-06T00:00:00"/>
    <x v="0"/>
    <s v="Martha"/>
    <x v="0"/>
    <s v="Television"/>
    <n v="95"/>
    <n v="1198"/>
    <n v="113810"/>
    <x v="0"/>
  </r>
  <r>
    <d v="2018-02-09T00:00:00"/>
    <x v="1"/>
    <s v="Hermann"/>
    <x v="1"/>
    <s v="Television"/>
    <n v="36"/>
    <n v="1198"/>
    <n v="43128"/>
    <x v="1"/>
  </r>
  <r>
    <d v="2018-02-26T00:00:00"/>
    <x v="1"/>
    <s v="Timothy"/>
    <x v="2"/>
    <s v="Cell Phone"/>
    <n v="27"/>
    <n v="225"/>
    <n v="6075"/>
    <x v="2"/>
  </r>
  <r>
    <d v="2018-03-15T00:00:00"/>
    <x v="2"/>
    <s v="Timothy"/>
    <x v="3"/>
    <s v="Television"/>
    <n v="56"/>
    <n v="1198"/>
    <n v="67088"/>
    <x v="0"/>
  </r>
  <r>
    <d v="2018-04-18T00:00:00"/>
    <x v="1"/>
    <s v="Martha"/>
    <x v="4"/>
    <s v="Television"/>
    <n v="75"/>
    <n v="1198"/>
    <n v="89850"/>
    <x v="1"/>
  </r>
  <r>
    <d v="2018-05-05T00:00:00"/>
    <x v="1"/>
    <s v="Hermann"/>
    <x v="1"/>
    <s v="Television"/>
    <n v="90"/>
    <n v="1198"/>
    <n v="107820"/>
    <x v="0"/>
  </r>
  <r>
    <d v="2018-09-01T00:00:00"/>
    <x v="1"/>
    <s v="Douglas"/>
    <x v="5"/>
    <s v="Desk"/>
    <n v="2"/>
    <n v="125"/>
    <n v="250"/>
    <x v="2"/>
  </r>
  <r>
    <d v="2019-08-24T00:00:00"/>
    <x v="2"/>
    <s v="Timothy"/>
    <x v="3"/>
    <s v="Desk"/>
    <n v="3"/>
    <n v="125"/>
    <n v="375"/>
    <x v="3"/>
  </r>
  <r>
    <d v="2018-01-23T00:00:00"/>
    <x v="1"/>
    <s v="Hermann"/>
    <x v="6"/>
    <s v="Home Theater"/>
    <n v="50"/>
    <n v="500"/>
    <n v="25000"/>
    <x v="3"/>
  </r>
  <r>
    <d v="2018-10-05T00:00:00"/>
    <x v="1"/>
    <s v="Hermann"/>
    <x v="7"/>
    <s v="Home Theater"/>
    <n v="28"/>
    <n v="500"/>
    <n v="14000"/>
    <x v="3"/>
  </r>
  <r>
    <d v="2019-05-31T00:00:00"/>
    <x v="1"/>
    <s v="Timothy"/>
    <x v="2"/>
    <s v="Home Theater"/>
    <n v="80"/>
    <n v="500"/>
    <n v="4000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s v="Martha"/>
    <s v="Alexander"/>
    <s v="Television"/>
    <n v="95"/>
    <n v="1198"/>
    <n v="113810"/>
    <s v="UPI"/>
  </r>
  <r>
    <x v="1"/>
    <x v="1"/>
    <s v="Hermann"/>
    <s v="Shelli"/>
    <s v="Home Theater"/>
    <n v="50"/>
    <n v="500"/>
    <n v="25000"/>
    <s v="CASH"/>
  </r>
  <r>
    <x v="2"/>
    <x v="1"/>
    <s v="Hermann"/>
    <s v="Luis"/>
    <s v="Television"/>
    <n v="36"/>
    <n v="1198"/>
    <n v="43128"/>
    <s v="DEBIT CARD"/>
  </r>
  <r>
    <x v="3"/>
    <x v="1"/>
    <s v="Timothy"/>
    <s v="David"/>
    <s v="Cell Phone"/>
    <n v="27"/>
    <n v="225"/>
    <n v="6075"/>
    <s v="NET BANKING"/>
  </r>
  <r>
    <x v="4"/>
    <x v="2"/>
    <s v="Timothy"/>
    <s v="Stephen"/>
    <s v="Television"/>
    <n v="56"/>
    <n v="1198"/>
    <n v="67088"/>
    <s v="UPI"/>
  </r>
  <r>
    <x v="5"/>
    <x v="0"/>
    <s v="Martha"/>
    <s v="Alexander"/>
    <s v="Home Theater"/>
    <n v="60"/>
    <n v="500"/>
    <n v="30000"/>
    <s v="CASH"/>
  </r>
  <r>
    <x v="6"/>
    <x v="1"/>
    <s v="Martha"/>
    <s v="Steven"/>
    <s v="Television"/>
    <n v="75"/>
    <n v="1198"/>
    <n v="89850"/>
    <s v="DEBIT CARD"/>
  </r>
  <r>
    <x v="7"/>
    <x v="1"/>
    <s v="Hermann"/>
    <s v="Luis"/>
    <s v="Television"/>
    <n v="90"/>
    <n v="1198"/>
    <n v="107820"/>
    <s v="UPI"/>
  </r>
  <r>
    <x v="8"/>
    <x v="2"/>
    <s v="Douglas"/>
    <s v="Michael"/>
    <s v="Television"/>
    <n v="32"/>
    <n v="1198"/>
    <n v="38336"/>
    <s v="CASH"/>
  </r>
  <r>
    <x v="9"/>
    <x v="0"/>
    <s v="Martha"/>
    <s v="Alexander"/>
    <s v="Home Theater"/>
    <n v="60"/>
    <n v="500"/>
    <n v="30000"/>
    <s v="UPI"/>
  </r>
  <r>
    <x v="10"/>
    <x v="1"/>
    <s v="Hermann"/>
    <s v="Sigal"/>
    <s v="Television"/>
    <n v="90"/>
    <n v="1198"/>
    <n v="107820"/>
    <s v="CASH"/>
  </r>
  <r>
    <x v="11"/>
    <x v="0"/>
    <s v="Martha"/>
    <s v="Diana"/>
    <s v="Home Theater"/>
    <n v="29"/>
    <n v="500"/>
    <n v="14500"/>
    <s v="DEBIT CARD"/>
  </r>
  <r>
    <x v="12"/>
    <x v="0"/>
    <s v="Douglas"/>
    <s v="Karen"/>
    <s v="Home Theater"/>
    <n v="81"/>
    <n v="500"/>
    <n v="40500"/>
    <s v="NET BANKING"/>
  </r>
  <r>
    <x v="13"/>
    <x v="0"/>
    <s v="Martha"/>
    <s v="Alexander"/>
    <s v="Television"/>
    <n v="35"/>
    <n v="1198"/>
    <n v="41930"/>
    <s v="DEBIT CARD"/>
  </r>
  <r>
    <x v="14"/>
    <x v="1"/>
    <s v="Douglas"/>
    <s v="John"/>
    <s v="Desk"/>
    <n v="2"/>
    <n v="125"/>
    <n v="250"/>
    <s v="NET BANKING"/>
  </r>
  <r>
    <x v="15"/>
    <x v="1"/>
    <s v="Hermann"/>
    <s v="Sigal"/>
    <s v="Home Theater"/>
    <n v="28"/>
    <n v="500"/>
    <n v="14000"/>
    <s v="CASH"/>
  </r>
  <r>
    <x v="16"/>
    <x v="0"/>
    <s v="Martha"/>
    <s v="Alexander"/>
    <s v="Cell Phone"/>
    <n v="64"/>
    <n v="225"/>
    <n v="14400"/>
    <s v="NET BANKING"/>
  </r>
  <r>
    <x v="17"/>
    <x v="0"/>
    <s v="Douglas"/>
    <s v="Karen"/>
    <s v="Cell Phone"/>
    <n v="15"/>
    <n v="225"/>
    <n v="3375"/>
    <s v="DEBIT CARD"/>
  </r>
  <r>
    <x v="18"/>
    <x v="1"/>
    <s v="Hermann"/>
    <s v="Shelli"/>
    <s v="Video Games"/>
    <n v="96"/>
    <n v="58.5"/>
    <n v="5616"/>
    <s v="NET BANKING"/>
  </r>
  <r>
    <x v="19"/>
    <x v="0"/>
    <s v="Martha"/>
    <s v="Alexander"/>
    <s v="Home Theater"/>
    <n v="4"/>
    <n v="500"/>
    <n v="2000"/>
    <s v="CASH"/>
  </r>
  <r>
    <x v="20"/>
    <x v="1"/>
    <s v="Timothy"/>
    <s v="David"/>
    <s v="Home Theater"/>
    <n v="80"/>
    <n v="500"/>
    <n v="40000"/>
    <s v="CASH"/>
  </r>
  <r>
    <x v="21"/>
    <x v="2"/>
    <s v="Timothy"/>
    <s v="Stephen"/>
    <s v="Desk"/>
    <n v="3"/>
    <n v="125"/>
    <n v="375"/>
    <s v="CASH"/>
  </r>
  <r>
    <x v="22"/>
    <x v="1"/>
    <s v="Hermann"/>
    <s v="Luis"/>
    <s v="Home Theater"/>
    <n v="94"/>
    <n v="500"/>
    <n v="47000"/>
    <s v="CASH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s v="East"/>
    <x v="0"/>
    <s v="Alexander"/>
    <s v="Television"/>
    <n v="95"/>
    <n v="1198"/>
    <n v="113810"/>
    <s v="UPI"/>
  </r>
  <r>
    <x v="1"/>
    <s v="Central"/>
    <x v="1"/>
    <s v="Shelli"/>
    <s v="Home Theater"/>
    <n v="50"/>
    <n v="500"/>
    <n v="25000"/>
    <s v="CASH"/>
  </r>
  <r>
    <x v="2"/>
    <s v="Central"/>
    <x v="1"/>
    <s v="Luis"/>
    <s v="Television"/>
    <n v="36"/>
    <n v="1198"/>
    <n v="43128"/>
    <s v="DEBIT CARD"/>
  </r>
  <r>
    <x v="3"/>
    <s v="Central"/>
    <x v="2"/>
    <s v="David"/>
    <s v="Cell Phone"/>
    <n v="27"/>
    <n v="225"/>
    <n v="6075"/>
    <s v="NET BANKING"/>
  </r>
  <r>
    <x v="4"/>
    <s v="West"/>
    <x v="2"/>
    <s v="Stephen"/>
    <s v="Television"/>
    <n v="56"/>
    <n v="1198"/>
    <n v="67088"/>
    <s v="UPI"/>
  </r>
  <r>
    <x v="5"/>
    <s v="East"/>
    <x v="0"/>
    <s v="Alexander"/>
    <s v="Home Theater"/>
    <n v="60"/>
    <n v="500"/>
    <n v="30000"/>
    <s v="CASH"/>
  </r>
  <r>
    <x v="6"/>
    <s v="Central"/>
    <x v="0"/>
    <s v="Steven"/>
    <s v="Television"/>
    <n v="75"/>
    <n v="1198"/>
    <n v="89850"/>
    <s v="DEBIT CARD"/>
  </r>
  <r>
    <x v="7"/>
    <s v="Central"/>
    <x v="1"/>
    <s v="Luis"/>
    <s v="Television"/>
    <n v="90"/>
    <n v="1198"/>
    <n v="107820"/>
    <s v="UPI"/>
  </r>
  <r>
    <x v="8"/>
    <s v="West"/>
    <x v="3"/>
    <s v="Michael"/>
    <s v="Television"/>
    <n v="32"/>
    <n v="1198"/>
    <n v="38336"/>
    <s v="CASH"/>
  </r>
  <r>
    <x v="9"/>
    <s v="East"/>
    <x v="0"/>
    <s v="Alexander"/>
    <s v="Home Theater"/>
    <n v="60"/>
    <n v="500"/>
    <n v="30000"/>
    <s v="UPI"/>
  </r>
  <r>
    <x v="10"/>
    <s v="Central"/>
    <x v="1"/>
    <s v="Sigal"/>
    <s v="Television"/>
    <n v="90"/>
    <n v="1198"/>
    <n v="107820"/>
    <s v="CASH"/>
  </r>
  <r>
    <x v="11"/>
    <s v="East"/>
    <x v="0"/>
    <s v="Diana"/>
    <s v="Home Theater"/>
    <n v="29"/>
    <n v="500"/>
    <n v="14500"/>
    <s v="DEBIT CARD"/>
  </r>
  <r>
    <x v="12"/>
    <s v="East"/>
    <x v="3"/>
    <s v="Karen"/>
    <s v="Home Theater"/>
    <n v="81"/>
    <n v="500"/>
    <n v="40500"/>
    <s v="NET BANKING"/>
  </r>
  <r>
    <x v="13"/>
    <s v="East"/>
    <x v="0"/>
    <s v="Alexander"/>
    <s v="Television"/>
    <n v="35"/>
    <n v="1198"/>
    <n v="41930"/>
    <s v="DEBIT CARD"/>
  </r>
  <r>
    <x v="14"/>
    <s v="Central"/>
    <x v="3"/>
    <s v="John"/>
    <s v="Desk"/>
    <n v="2"/>
    <n v="125"/>
    <n v="250"/>
    <s v="NET BANKING"/>
  </r>
  <r>
    <x v="15"/>
    <s v="Central"/>
    <x v="1"/>
    <s v="Sigal"/>
    <s v="Home Theater"/>
    <n v="28"/>
    <n v="500"/>
    <n v="14000"/>
    <s v="CASH"/>
  </r>
  <r>
    <x v="16"/>
    <s v="East"/>
    <x v="0"/>
    <s v="Alexander"/>
    <s v="Cell Phone"/>
    <n v="64"/>
    <n v="225"/>
    <n v="14400"/>
    <s v="NET BANKING"/>
  </r>
  <r>
    <x v="17"/>
    <s v="East"/>
    <x v="3"/>
    <s v="Karen"/>
    <s v="Cell Phone"/>
    <n v="15"/>
    <n v="225"/>
    <n v="3375"/>
    <s v="DEBIT CARD"/>
  </r>
  <r>
    <x v="18"/>
    <s v="Central"/>
    <x v="1"/>
    <s v="Shelli"/>
    <s v="Video Games"/>
    <n v="96"/>
    <n v="58.5"/>
    <n v="5616"/>
    <s v="NET BANKING"/>
  </r>
  <r>
    <x v="19"/>
    <s v="East"/>
    <x v="0"/>
    <s v="Alexander"/>
    <s v="Home Theater"/>
    <n v="4"/>
    <n v="500"/>
    <n v="2000"/>
    <s v="CASH"/>
  </r>
  <r>
    <x v="20"/>
    <s v="Central"/>
    <x v="2"/>
    <s v="David"/>
    <s v="Home Theater"/>
    <n v="80"/>
    <n v="500"/>
    <n v="40000"/>
    <s v="CASH"/>
  </r>
  <r>
    <x v="21"/>
    <s v="West"/>
    <x v="2"/>
    <s v="Stephen"/>
    <s v="Desk"/>
    <n v="3"/>
    <n v="125"/>
    <n v="375"/>
    <s v="CASH"/>
  </r>
  <r>
    <x v="22"/>
    <s v="Central"/>
    <x v="1"/>
    <s v="Luis"/>
    <s v="Home Theater"/>
    <n v="94"/>
    <n v="500"/>
    <n v="47000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35264-7C82-4C79-9A36-30725F5F85CE}" name="PivotTable1" cacheId="2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A3:B7" firstHeaderRow="1" firstDataRow="1" firstDataCol="1"/>
  <pivotFields count="9">
    <pivotField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filters count="1">
    <filter fld="0" type="dateBetween" evalOrder="-1" id="34" name="OrderDate">
      <autoFilter ref="A1">
        <filterColumn colId="0">
          <customFilters and="1">
            <customFilter operator="greaterThanOrEqual" val="43101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ED731-C565-49AD-AAA4-E58255488234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31" firstHeaderRow="0" firstDataRow="1" firstDataCol="1"/>
  <pivotFields count="9"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axis="axisRow" showAll="0">
      <items count="5">
        <item x="3"/>
        <item x="1"/>
        <item x="0"/>
        <item x="2"/>
        <item t="default" sd="0"/>
      </items>
    </pivotField>
    <pivotField showAll="0"/>
    <pivotField showAll="0"/>
    <pivotField dataField="1" showAll="0"/>
    <pivotField dataField="1" showAll="0"/>
    <pivotField dataField="1" showAll="0"/>
    <pivotField showAll="0"/>
  </pivotFields>
  <rowFields count="2">
    <field x="2"/>
    <field x="0"/>
  </rowFields>
  <rowItems count="28">
    <i>
      <x/>
    </i>
    <i r="1">
      <x v="8"/>
    </i>
    <i r="1">
      <x v="12"/>
    </i>
    <i r="1">
      <x v="14"/>
    </i>
    <i r="1">
      <x v="17"/>
    </i>
    <i>
      <x v="1"/>
    </i>
    <i r="1">
      <x v="1"/>
    </i>
    <i r="1">
      <x v="2"/>
    </i>
    <i r="1">
      <x v="7"/>
    </i>
    <i r="1">
      <x v="10"/>
    </i>
    <i r="1">
      <x v="15"/>
    </i>
    <i r="1">
      <x v="18"/>
    </i>
    <i r="1">
      <x v="22"/>
    </i>
    <i>
      <x v="2"/>
    </i>
    <i r="1">
      <x/>
    </i>
    <i r="1">
      <x v="5"/>
    </i>
    <i r="1">
      <x v="6"/>
    </i>
    <i r="1">
      <x v="9"/>
    </i>
    <i r="1">
      <x v="11"/>
    </i>
    <i r="1">
      <x v="13"/>
    </i>
    <i r="1">
      <x v="16"/>
    </i>
    <i r="1">
      <x v="19"/>
    </i>
    <i>
      <x v="3"/>
    </i>
    <i r="1">
      <x v="3"/>
    </i>
    <i r="1">
      <x v="4"/>
    </i>
    <i r="1">
      <x v="20"/>
    </i>
    <i r="1"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" fld="5" baseField="0" baseItem="0"/>
    <dataField name="Sum of Sale_amt" fld="7" baseField="0" baseItem="0"/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29F82-2170-4660-95C2-CAFA2B4DB401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9">
    <pivotField numFmtId="14" showAll="0"/>
    <pivotField axis="axisRow" showAll="0">
      <items count="4">
        <item sd="0" x="1"/>
        <item sd="0" x="0"/>
        <item sd="0" x="2"/>
        <item t="default"/>
      </items>
    </pivotField>
    <pivotField showAll="0"/>
    <pivotField showAll="0">
      <items count="9">
        <item x="0"/>
        <item x="2"/>
        <item x="5"/>
        <item x="1"/>
        <item x="6"/>
        <item x="7"/>
        <item x="3"/>
        <item x="4"/>
        <item t="default"/>
      </items>
    </pivotField>
    <pivotField showAll="0"/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</pivotFields>
  <rowFields count="2">
    <field x="1"/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6CEED-5BD7-451E-A688-41A576E25659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9">
    <pivotField numFmtId="14" showAll="0"/>
    <pivotField showAll="0">
      <items count="4">
        <item x="1"/>
        <item h="1" x="0"/>
        <item h="1" x="2"/>
        <item t="default"/>
      </items>
    </pivotField>
    <pivotField showAll="0"/>
    <pivotField axis="axisRow" showAll="0">
      <items count="9">
        <item x="0"/>
        <item x="2"/>
        <item x="5"/>
        <item x="1"/>
        <item x="6"/>
        <item x="7"/>
        <item x="3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4DB8E-190A-4628-BB3E-464024FB8750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5:B34" firstHeaderRow="1" firstDataRow="1" firstDataCol="1"/>
  <pivotFields count="9">
    <pivotField numFmtId="14" showAll="0"/>
    <pivotField showAll="0">
      <items count="4">
        <item h="1" x="1"/>
        <item x="0"/>
        <item h="1" x="2"/>
        <item t="default"/>
      </items>
    </pivotField>
    <pivotField showAll="0"/>
    <pivotField axis="axisRow" showAll="0">
      <items count="9">
        <item x="0"/>
        <item x="2"/>
        <item x="5"/>
        <item x="1"/>
        <item x="6"/>
        <item x="7"/>
        <item x="3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C2C-0E14-43FE-9839-190D9BDCDB20}" name="Table1" displayName="Table1" ref="A1:I24" totalsRowShown="0" headerRowDxfId="13" dataDxfId="11" headerRowBorderDxfId="12" tableBorderDxfId="10" totalsRowBorderDxfId="9" headerRowCellStyle="Normal 2">
  <autoFilter ref="A1:I24" xr:uid="{FCA55847-EE9C-4286-8284-45388C2D56AF}"/>
  <sortState ref="A2:I24">
    <sortCondition ref="A1:A24"/>
  </sortState>
  <tableColumns count="9">
    <tableColumn id="1" xr3:uid="{79A75550-4CE4-414A-9A7E-83C5ED5BE3EF}" name="OrderDate" dataDxfId="8"/>
    <tableColumn id="2" xr3:uid="{DD247317-B8B0-4622-8151-C993B8F8D4B4}" name="Region" dataDxfId="7"/>
    <tableColumn id="3" xr3:uid="{41EA1B2A-C521-404A-920C-1A009BBB3A98}" name="Manager" dataDxfId="6"/>
    <tableColumn id="4" xr3:uid="{7112608C-8DED-4A2A-9AF9-967749442FC4}" name="SalesMan" dataDxfId="5"/>
    <tableColumn id="5" xr3:uid="{D325747A-3F35-428F-9B9E-D128D85EED4A}" name="Item" dataDxfId="4"/>
    <tableColumn id="6" xr3:uid="{FE5A8364-5F7B-4237-B2C7-62187F28F59F}" name="Units" dataDxfId="3"/>
    <tableColumn id="7" xr3:uid="{7FB961D8-A5E3-4C33-B5B2-7653F4FE84B6}" name="Unit_price" dataDxfId="2"/>
    <tableColumn id="8" xr3:uid="{34235816-6D63-43BD-A559-4E8DC03C85C0}" name="Sale_amt" dataDxfId="1"/>
    <tableColumn id="9" xr3:uid="{AAAE5550-9394-4269-82CD-8520ACC2F825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Date" xr10:uid="{FE0B8347-8037-44F4-80CA-C5BBBC0F7E77}" sourceName="OrderDate">
  <pivotTables>
    <pivotTable tabId="15" name="PivotTable1"/>
  </pivotTables>
  <state minimalRefreshVersion="6" lastRefreshVersion="6" pivotCacheId="512600103" filterType="dateBetween">
    <selection startDate="2018-01-01T00:00:00" endDate="2018-12-31T00:00:00"/>
    <bounds startDate="2018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" xr10:uid="{B0B579AC-795D-4B72-AD14-4AA82A86CC9D}" cache="NativeTimeline_OrderDate" caption="OrderDate" level="0" selectionLevel="0" scrollPosition="2018-01-01T00:00:00"/>
</timeline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45" zoomScaleNormal="145" workbookViewId="0">
      <selection activeCell="A4" sqref="A4"/>
    </sheetView>
  </sheetViews>
  <sheetFormatPr defaultRowHeight="14.4" x14ac:dyDescent="0.3"/>
  <cols>
    <col min="2" max="2" width="15.33203125" customWidth="1"/>
    <col min="9" max="10" width="13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f ca="1">TODAY()</f>
        <v>46156</v>
      </c>
      <c r="B2" s="4">
        <f ca="1">NOW()</f>
        <v>46156.670637847223</v>
      </c>
      <c r="C2">
        <f ca="1">YEAR(B2)</f>
        <v>2026</v>
      </c>
      <c r="D2">
        <f ca="1">MONTH(B2)</f>
        <v>5</v>
      </c>
      <c r="E2">
        <f ca="1">DAY(B2)</f>
        <v>14</v>
      </c>
      <c r="F2">
        <f ca="1">HOUR(B2)</f>
        <v>16</v>
      </c>
      <c r="G2">
        <f ca="1">MINUTE(B2)</f>
        <v>5</v>
      </c>
      <c r="H2">
        <f ca="1">SECOND(B2)</f>
        <v>43</v>
      </c>
      <c r="I2" s="4">
        <f ca="1">EDATE(A2,4)</f>
        <v>46279</v>
      </c>
    </row>
    <row r="3" spans="1:11" x14ac:dyDescent="0.3">
      <c r="A3" s="3">
        <f ca="1">TODAY()</f>
        <v>46156</v>
      </c>
      <c r="B3" s="4">
        <f ca="1">NOW()</f>
        <v>46156.670637731484</v>
      </c>
      <c r="C3">
        <f ca="1">YEAR(B3)</f>
        <v>2026</v>
      </c>
      <c r="D3">
        <f ca="1">MONTH(B3)</f>
        <v>5</v>
      </c>
      <c r="E3">
        <f ca="1">DAY(B3)</f>
        <v>14</v>
      </c>
      <c r="F3">
        <f ca="1">HOUR(B3)</f>
        <v>16</v>
      </c>
      <c r="G3">
        <f ca="1">MINUTE(B3)</f>
        <v>5</v>
      </c>
      <c r="H3">
        <f ca="1">SECOND(B3)</f>
        <v>43</v>
      </c>
      <c r="I3" s="4">
        <f ca="1">B3+5</f>
        <v>46161.670637731484</v>
      </c>
      <c r="J3" s="4">
        <f ca="1">B3+2*30</f>
        <v>46216.670637731484</v>
      </c>
    </row>
    <row r="4" spans="1:11" x14ac:dyDescent="0.3">
      <c r="I4" s="3"/>
    </row>
    <row r="5" spans="1:11" x14ac:dyDescent="0.3">
      <c r="B5" s="3"/>
    </row>
    <row r="7" spans="1:11" x14ac:dyDescent="0.3">
      <c r="B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B4" sqref="B4:C8"/>
    </sheetView>
  </sheetViews>
  <sheetFormatPr defaultRowHeight="14.4" x14ac:dyDescent="0.3"/>
  <sheetData>
    <row r="4" spans="2:17" x14ac:dyDescent="0.3">
      <c r="B4" s="16" t="s">
        <v>50</v>
      </c>
      <c r="C4" s="16">
        <v>500</v>
      </c>
      <c r="F4">
        <f>C4*C5*C6</f>
        <v>27500</v>
      </c>
    </row>
    <row r="5" spans="2:17" x14ac:dyDescent="0.3">
      <c r="B5" s="16" t="s">
        <v>51</v>
      </c>
      <c r="C5" s="16">
        <v>55</v>
      </c>
      <c r="E5">
        <v>500</v>
      </c>
      <c r="F5">
        <f t="dataTable" ref="F5:F18" dt2D="0" dtr="0" r1="C4"/>
        <v>27500</v>
      </c>
    </row>
    <row r="6" spans="2:17" x14ac:dyDescent="0.3">
      <c r="B6" s="16" t="s">
        <v>3</v>
      </c>
      <c r="C6" s="16">
        <v>1</v>
      </c>
      <c r="E6">
        <v>600</v>
      </c>
      <c r="F6">
        <v>33000</v>
      </c>
    </row>
    <row r="7" spans="2:17" x14ac:dyDescent="0.3">
      <c r="B7" s="16"/>
      <c r="C7" s="16"/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s="16" t="s">
        <v>52</v>
      </c>
      <c r="C8" s="16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 ca="1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60C8-A63A-4B30-948B-AC6F528DA81C}">
  <dimension ref="C5:O20"/>
  <sheetViews>
    <sheetView zoomScale="115" zoomScaleNormal="115" workbookViewId="0">
      <selection activeCell="J9" sqref="J9"/>
    </sheetView>
  </sheetViews>
  <sheetFormatPr defaultRowHeight="14.4" x14ac:dyDescent="0.3"/>
  <sheetData>
    <row r="5" spans="3:15" x14ac:dyDescent="0.3">
      <c r="C5" s="16" t="s">
        <v>50</v>
      </c>
      <c r="D5" s="16">
        <v>500</v>
      </c>
      <c r="G5">
        <f>D5*D6*D7</f>
        <v>30000</v>
      </c>
    </row>
    <row r="6" spans="3:15" x14ac:dyDescent="0.3">
      <c r="C6" s="16" t="s">
        <v>51</v>
      </c>
      <c r="D6" s="16">
        <v>60</v>
      </c>
      <c r="F6">
        <v>500</v>
      </c>
      <c r="G6">
        <f t="dataTable" ref="G6:G19" dt2D="0" dtr="0" r1="D5" ca="1"/>
        <v>30000</v>
      </c>
      <c r="I6">
        <f>D5*D6*D7</f>
        <v>30000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</row>
    <row r="7" spans="3:15" x14ac:dyDescent="0.3">
      <c r="C7" s="16" t="s">
        <v>3</v>
      </c>
      <c r="D7" s="16">
        <v>1</v>
      </c>
      <c r="F7">
        <v>600</v>
      </c>
      <c r="G7">
        <v>36000</v>
      </c>
      <c r="I7">
        <v>500</v>
      </c>
      <c r="J7">
        <f t="dataTable" ref="J7:O20" dt2D="1" dtr="1" r1="D7" r2="D5"/>
        <v>30000</v>
      </c>
      <c r="K7">
        <v>60000</v>
      </c>
      <c r="L7">
        <v>90000</v>
      </c>
      <c r="M7">
        <v>120000</v>
      </c>
      <c r="N7">
        <v>150000</v>
      </c>
      <c r="O7">
        <v>180000</v>
      </c>
    </row>
    <row r="8" spans="3:15" x14ac:dyDescent="0.3">
      <c r="C8" s="16"/>
      <c r="D8" s="16"/>
      <c r="F8">
        <v>700</v>
      </c>
      <c r="G8">
        <v>42000</v>
      </c>
      <c r="I8">
        <v>600</v>
      </c>
      <c r="J8">
        <v>36000</v>
      </c>
      <c r="K8">
        <v>72000</v>
      </c>
      <c r="L8">
        <v>108000</v>
      </c>
      <c r="M8">
        <v>144000</v>
      </c>
      <c r="N8">
        <v>180000</v>
      </c>
      <c r="O8">
        <v>216000</v>
      </c>
    </row>
    <row r="9" spans="3:15" x14ac:dyDescent="0.3">
      <c r="C9" s="16" t="s">
        <v>52</v>
      </c>
      <c r="D9" s="16">
        <f>D5*D6*D7</f>
        <v>30000</v>
      </c>
      <c r="F9">
        <v>800</v>
      </c>
      <c r="G9">
        <v>48000</v>
      </c>
      <c r="I9">
        <v>700</v>
      </c>
      <c r="J9">
        <v>42000</v>
      </c>
      <c r="K9">
        <v>84000</v>
      </c>
      <c r="L9">
        <v>126000</v>
      </c>
      <c r="M9">
        <v>168000</v>
      </c>
      <c r="N9">
        <v>210000</v>
      </c>
      <c r="O9">
        <v>252000</v>
      </c>
    </row>
    <row r="10" spans="3:15" x14ac:dyDescent="0.3">
      <c r="F10">
        <v>900</v>
      </c>
      <c r="G10">
        <v>54000</v>
      </c>
      <c r="I10">
        <v>800</v>
      </c>
      <c r="J10">
        <v>48000</v>
      </c>
      <c r="K10">
        <v>96000</v>
      </c>
      <c r="L10">
        <v>144000</v>
      </c>
      <c r="M10">
        <v>192000</v>
      </c>
      <c r="N10">
        <v>240000</v>
      </c>
      <c r="O10">
        <v>288000</v>
      </c>
    </row>
    <row r="11" spans="3:15" x14ac:dyDescent="0.3">
      <c r="F11">
        <v>1000</v>
      </c>
      <c r="G11">
        <v>60000</v>
      </c>
      <c r="I11">
        <v>900</v>
      </c>
      <c r="J11">
        <v>54000</v>
      </c>
      <c r="K11">
        <v>108000</v>
      </c>
      <c r="L11">
        <v>162000</v>
      </c>
      <c r="M11">
        <v>216000</v>
      </c>
      <c r="N11">
        <v>270000</v>
      </c>
      <c r="O11">
        <v>324000</v>
      </c>
    </row>
    <row r="12" spans="3:15" x14ac:dyDescent="0.3">
      <c r="F12">
        <v>1100</v>
      </c>
      <c r="G12">
        <v>66000</v>
      </c>
      <c r="I12">
        <v>1000</v>
      </c>
      <c r="J12">
        <v>60000</v>
      </c>
      <c r="K12">
        <v>120000</v>
      </c>
      <c r="L12">
        <v>180000</v>
      </c>
      <c r="M12">
        <v>240000</v>
      </c>
      <c r="N12">
        <v>300000</v>
      </c>
      <c r="O12">
        <v>360000</v>
      </c>
    </row>
    <row r="13" spans="3:15" x14ac:dyDescent="0.3">
      <c r="F13">
        <v>1200</v>
      </c>
      <c r="G13">
        <v>72000</v>
      </c>
      <c r="I13">
        <v>1100</v>
      </c>
      <c r="J13">
        <v>66000</v>
      </c>
      <c r="K13">
        <v>132000</v>
      </c>
      <c r="L13">
        <v>198000</v>
      </c>
      <c r="M13">
        <v>264000</v>
      </c>
      <c r="N13">
        <v>330000</v>
      </c>
      <c r="O13">
        <v>396000</v>
      </c>
    </row>
    <row r="14" spans="3:15" x14ac:dyDescent="0.3">
      <c r="F14">
        <v>1300</v>
      </c>
      <c r="G14">
        <v>78000</v>
      </c>
      <c r="I14">
        <v>1200</v>
      </c>
      <c r="J14">
        <v>72000</v>
      </c>
      <c r="K14">
        <v>144000</v>
      </c>
      <c r="L14">
        <v>216000</v>
      </c>
      <c r="M14">
        <v>288000</v>
      </c>
      <c r="N14">
        <v>360000</v>
      </c>
      <c r="O14">
        <v>432000</v>
      </c>
    </row>
    <row r="15" spans="3:15" x14ac:dyDescent="0.3">
      <c r="F15">
        <v>1400</v>
      </c>
      <c r="G15">
        <v>84000</v>
      </c>
      <c r="I15">
        <v>1300</v>
      </c>
      <c r="J15">
        <v>78000</v>
      </c>
      <c r="K15">
        <v>156000</v>
      </c>
      <c r="L15">
        <v>234000</v>
      </c>
      <c r="M15">
        <v>312000</v>
      </c>
      <c r="N15">
        <v>390000</v>
      </c>
      <c r="O15">
        <v>468000</v>
      </c>
    </row>
    <row r="16" spans="3:15" x14ac:dyDescent="0.3">
      <c r="F16">
        <v>1500</v>
      </c>
      <c r="G16">
        <v>90000</v>
      </c>
      <c r="I16">
        <v>1400</v>
      </c>
      <c r="J16">
        <v>84000</v>
      </c>
      <c r="K16">
        <v>168000</v>
      </c>
      <c r="L16">
        <v>252000</v>
      </c>
      <c r="M16">
        <v>336000</v>
      </c>
      <c r="N16">
        <v>420000</v>
      </c>
      <c r="O16">
        <v>504000</v>
      </c>
    </row>
    <row r="17" spans="6:15" x14ac:dyDescent="0.3">
      <c r="F17">
        <v>1600</v>
      </c>
      <c r="G17">
        <v>96000</v>
      </c>
      <c r="I17">
        <v>1500</v>
      </c>
      <c r="J17">
        <v>90000</v>
      </c>
      <c r="K17">
        <v>180000</v>
      </c>
      <c r="L17">
        <v>270000</v>
      </c>
      <c r="M17">
        <v>360000</v>
      </c>
      <c r="N17">
        <v>450000</v>
      </c>
      <c r="O17">
        <v>540000</v>
      </c>
    </row>
    <row r="18" spans="6:15" x14ac:dyDescent="0.3">
      <c r="F18">
        <v>1700</v>
      </c>
      <c r="G18">
        <v>102000</v>
      </c>
      <c r="I18">
        <v>1600</v>
      </c>
      <c r="J18">
        <v>96000</v>
      </c>
      <c r="K18">
        <v>192000</v>
      </c>
      <c r="L18">
        <v>288000</v>
      </c>
      <c r="M18">
        <v>384000</v>
      </c>
      <c r="N18">
        <v>480000</v>
      </c>
      <c r="O18">
        <v>576000</v>
      </c>
    </row>
    <row r="19" spans="6:15" x14ac:dyDescent="0.3">
      <c r="F19">
        <v>1800</v>
      </c>
      <c r="G19">
        <v>108000</v>
      </c>
      <c r="I19">
        <v>1700</v>
      </c>
      <c r="J19">
        <v>102000</v>
      </c>
      <c r="K19">
        <v>204000</v>
      </c>
      <c r="L19">
        <v>306000</v>
      </c>
      <c r="M19">
        <v>408000</v>
      </c>
      <c r="N19">
        <v>510000</v>
      </c>
      <c r="O19">
        <v>612000</v>
      </c>
    </row>
    <row r="20" spans="6:15" x14ac:dyDescent="0.3">
      <c r="I20">
        <v>1800</v>
      </c>
      <c r="J20">
        <v>108000</v>
      </c>
      <c r="K20">
        <v>216000</v>
      </c>
      <c r="L20">
        <v>324000</v>
      </c>
      <c r="M20">
        <v>432000</v>
      </c>
      <c r="N20">
        <v>540000</v>
      </c>
      <c r="O20">
        <v>648000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7FB-1742-4A47-A329-E8892E35023C}">
  <dimension ref="A1:F14"/>
  <sheetViews>
    <sheetView zoomScale="145" zoomScaleNormal="145" workbookViewId="0">
      <selection activeCell="F14" sqref="F14"/>
    </sheetView>
  </sheetViews>
  <sheetFormatPr defaultRowHeight="14.4" x14ac:dyDescent="0.3"/>
  <cols>
    <col min="5" max="5" width="12.6640625" bestFit="1" customWidth="1"/>
    <col min="6" max="6" width="11.88671875" bestFit="1" customWidth="1"/>
  </cols>
  <sheetData>
    <row r="1" spans="1:6" x14ac:dyDescent="0.3">
      <c r="A1" s="16" t="s">
        <v>50</v>
      </c>
      <c r="B1" s="16">
        <v>1666.6666666666667</v>
      </c>
    </row>
    <row r="2" spans="1:6" x14ac:dyDescent="0.3">
      <c r="A2" s="16" t="s">
        <v>51</v>
      </c>
      <c r="B2" s="16">
        <v>60</v>
      </c>
    </row>
    <row r="3" spans="1:6" x14ac:dyDescent="0.3">
      <c r="A3" s="16" t="s">
        <v>3</v>
      </c>
      <c r="B3" s="16">
        <v>1</v>
      </c>
    </row>
    <row r="4" spans="1:6" x14ac:dyDescent="0.3">
      <c r="A4" s="16"/>
      <c r="B4" s="16"/>
    </row>
    <row r="5" spans="1:6" x14ac:dyDescent="0.3">
      <c r="A5" s="16" t="s">
        <v>52</v>
      </c>
      <c r="B5" s="16">
        <f>B1*B2*B3</f>
        <v>100000</v>
      </c>
    </row>
    <row r="7" spans="1:6" x14ac:dyDescent="0.3">
      <c r="E7" s="16" t="s">
        <v>50</v>
      </c>
      <c r="F7" s="23">
        <v>500</v>
      </c>
    </row>
    <row r="8" spans="1:6" x14ac:dyDescent="0.3">
      <c r="E8" s="16" t="s">
        <v>51</v>
      </c>
      <c r="F8" s="22">
        <v>60</v>
      </c>
    </row>
    <row r="9" spans="1:6" x14ac:dyDescent="0.3">
      <c r="E9" s="16" t="s">
        <v>53</v>
      </c>
      <c r="F9" s="22">
        <v>10</v>
      </c>
    </row>
    <row r="10" spans="1:6" x14ac:dyDescent="0.3">
      <c r="E10" s="16" t="s">
        <v>3</v>
      </c>
      <c r="F10" s="22">
        <v>1</v>
      </c>
    </row>
    <row r="11" spans="1:6" x14ac:dyDescent="0.3">
      <c r="E11" s="16"/>
      <c r="F11" s="16"/>
    </row>
    <row r="12" spans="1:6" x14ac:dyDescent="0.3">
      <c r="E12" s="16" t="s">
        <v>56</v>
      </c>
      <c r="F12" s="22">
        <f>F7*F8*F10</f>
        <v>30000</v>
      </c>
    </row>
    <row r="13" spans="1:6" x14ac:dyDescent="0.3">
      <c r="E13" s="24" t="s">
        <v>55</v>
      </c>
      <c r="F13" s="22">
        <f>F12-(F7*F9)</f>
        <v>25000</v>
      </c>
    </row>
    <row r="14" spans="1:6" x14ac:dyDescent="0.3">
      <c r="E14" s="24" t="s">
        <v>54</v>
      </c>
      <c r="F14" s="22">
        <f>F12-F13</f>
        <v>5000</v>
      </c>
    </row>
  </sheetData>
  <scenarios current="0" sqref="F14">
    <scenario name="Sales1" locked="1" count="1" user="pc" comment="Created by pc on 23-01-2026">
      <inputCells r="F7" val="700" numFmtId="1"/>
    </scenario>
    <scenario name="Sales2" locked="1" count="1" user="pc" comment="Created by pc on 23-01-2026">
      <inputCells r="F7" val="800" numFmtId="1"/>
    </scenario>
    <scenario name="Sales3" locked="1" count="1" user="pc" comment="Created by pc on 23-01-2026">
      <inputCells r="F7" val="2200" numFmtId="1"/>
    </scenario>
  </scenario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76CB-4A63-4501-89C5-90CC1CAFBCC5}">
  <dimension ref="A3:B7"/>
  <sheetViews>
    <sheetView zoomScale="130" zoomScaleNormal="130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2" x14ac:dyDescent="0.3">
      <c r="A3" s="10" t="s">
        <v>47</v>
      </c>
      <c r="B3" t="s">
        <v>49</v>
      </c>
    </row>
    <row r="4" spans="1:2" x14ac:dyDescent="0.3">
      <c r="A4" s="11" t="s">
        <v>20</v>
      </c>
      <c r="B4" s="12">
        <v>399559</v>
      </c>
    </row>
    <row r="5" spans="1:2" x14ac:dyDescent="0.3">
      <c r="A5" s="11" t="s">
        <v>27</v>
      </c>
      <c r="B5" s="12">
        <v>288515</v>
      </c>
    </row>
    <row r="6" spans="1:2" x14ac:dyDescent="0.3">
      <c r="A6" s="11" t="s">
        <v>25</v>
      </c>
      <c r="B6" s="12">
        <v>105424</v>
      </c>
    </row>
    <row r="7" spans="1:2" x14ac:dyDescent="0.3">
      <c r="A7" s="11" t="s">
        <v>48</v>
      </c>
      <c r="B7" s="12">
        <v>793498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FFB7-CFC1-4B92-BC36-D9E9B02413AF}">
  <dimension ref="A3:D31"/>
  <sheetViews>
    <sheetView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1.77734375" bestFit="1" customWidth="1"/>
    <col min="3" max="3" width="15.33203125" bestFit="1" customWidth="1"/>
    <col min="4" max="4" width="16.21875" bestFit="1" customWidth="1"/>
  </cols>
  <sheetData>
    <row r="3" spans="1:4" x14ac:dyDescent="0.3">
      <c r="A3" s="10" t="s">
        <v>47</v>
      </c>
      <c r="B3" t="s">
        <v>58</v>
      </c>
      <c r="C3" t="s">
        <v>49</v>
      </c>
      <c r="D3" t="s">
        <v>57</v>
      </c>
    </row>
    <row r="4" spans="1:4" x14ac:dyDescent="0.3">
      <c r="A4" s="11" t="s">
        <v>31</v>
      </c>
      <c r="B4" s="12">
        <v>130</v>
      </c>
      <c r="C4" s="12">
        <v>82461</v>
      </c>
      <c r="D4" s="12">
        <v>2048</v>
      </c>
    </row>
    <row r="5" spans="1:4" x14ac:dyDescent="0.3">
      <c r="A5" s="26">
        <v>43242</v>
      </c>
      <c r="B5" s="12">
        <v>32</v>
      </c>
      <c r="C5" s="12">
        <v>38336</v>
      </c>
      <c r="D5" s="12">
        <v>1198</v>
      </c>
    </row>
    <row r="6" spans="1:4" x14ac:dyDescent="0.3">
      <c r="A6" s="26">
        <v>43310</v>
      </c>
      <c r="B6" s="12">
        <v>81</v>
      </c>
      <c r="C6" s="12">
        <v>40500</v>
      </c>
      <c r="D6" s="12">
        <v>500</v>
      </c>
    </row>
    <row r="7" spans="1:4" x14ac:dyDescent="0.3">
      <c r="A7" s="26">
        <v>43344</v>
      </c>
      <c r="B7" s="12">
        <v>2</v>
      </c>
      <c r="C7" s="12">
        <v>250</v>
      </c>
      <c r="D7" s="12">
        <v>125</v>
      </c>
    </row>
    <row r="8" spans="1:4" x14ac:dyDescent="0.3">
      <c r="A8" s="26">
        <v>43412</v>
      </c>
      <c r="B8" s="12">
        <v>15</v>
      </c>
      <c r="C8" s="12">
        <v>3375</v>
      </c>
      <c r="D8" s="12">
        <v>225</v>
      </c>
    </row>
    <row r="9" spans="1:4" x14ac:dyDescent="0.3">
      <c r="A9" s="11" t="s">
        <v>35</v>
      </c>
      <c r="B9" s="12">
        <v>484</v>
      </c>
      <c r="C9" s="12">
        <v>350384</v>
      </c>
      <c r="D9" s="12">
        <v>5152.5</v>
      </c>
    </row>
    <row r="10" spans="1:4" x14ac:dyDescent="0.3">
      <c r="A10" s="26">
        <v>43123</v>
      </c>
      <c r="B10" s="12">
        <v>50</v>
      </c>
      <c r="C10" s="12">
        <v>25000</v>
      </c>
      <c r="D10" s="12">
        <v>500</v>
      </c>
    </row>
    <row r="11" spans="1:4" x14ac:dyDescent="0.3">
      <c r="A11" s="26">
        <v>43140</v>
      </c>
      <c r="B11" s="12">
        <v>36</v>
      </c>
      <c r="C11" s="12">
        <v>43128</v>
      </c>
      <c r="D11" s="12">
        <v>1198</v>
      </c>
    </row>
    <row r="12" spans="1:4" x14ac:dyDescent="0.3">
      <c r="A12" s="26">
        <v>43225</v>
      </c>
      <c r="B12" s="12">
        <v>90</v>
      </c>
      <c r="C12" s="12">
        <v>107820</v>
      </c>
      <c r="D12" s="12">
        <v>1198</v>
      </c>
    </row>
    <row r="13" spans="1:4" x14ac:dyDescent="0.3">
      <c r="A13" s="26">
        <v>43276</v>
      </c>
      <c r="B13" s="12">
        <v>90</v>
      </c>
      <c r="C13" s="12">
        <v>107820</v>
      </c>
      <c r="D13" s="12">
        <v>1198</v>
      </c>
    </row>
    <row r="14" spans="1:4" x14ac:dyDescent="0.3">
      <c r="A14" s="26">
        <v>43378</v>
      </c>
      <c r="B14" s="12">
        <v>28</v>
      </c>
      <c r="C14" s="12">
        <v>14000</v>
      </c>
      <c r="D14" s="12">
        <v>500</v>
      </c>
    </row>
    <row r="15" spans="1:4" x14ac:dyDescent="0.3">
      <c r="A15" s="26">
        <v>43429</v>
      </c>
      <c r="B15" s="12">
        <v>96</v>
      </c>
      <c r="C15" s="12">
        <v>5616</v>
      </c>
      <c r="D15" s="12">
        <v>58.5</v>
      </c>
    </row>
    <row r="16" spans="1:4" x14ac:dyDescent="0.3">
      <c r="A16" s="26">
        <v>43803</v>
      </c>
      <c r="B16" s="12">
        <v>94</v>
      </c>
      <c r="C16" s="12">
        <v>47000</v>
      </c>
      <c r="D16" s="12">
        <v>500</v>
      </c>
    </row>
    <row r="17" spans="1:4" x14ac:dyDescent="0.3">
      <c r="A17" s="11" t="s">
        <v>28</v>
      </c>
      <c r="B17" s="12">
        <v>422</v>
      </c>
      <c r="C17" s="12">
        <v>336490</v>
      </c>
      <c r="D17" s="12">
        <v>5819</v>
      </c>
    </row>
    <row r="18" spans="1:4" x14ac:dyDescent="0.3">
      <c r="A18" s="26">
        <v>43106</v>
      </c>
      <c r="B18" s="12">
        <v>95</v>
      </c>
      <c r="C18" s="12">
        <v>113810</v>
      </c>
      <c r="D18" s="12">
        <v>1198</v>
      </c>
    </row>
    <row r="19" spans="1:4" x14ac:dyDescent="0.3">
      <c r="A19" s="26">
        <v>43191</v>
      </c>
      <c r="B19" s="12">
        <v>60</v>
      </c>
      <c r="C19" s="12">
        <v>30000</v>
      </c>
      <c r="D19" s="12">
        <v>500</v>
      </c>
    </row>
    <row r="20" spans="1:4" x14ac:dyDescent="0.3">
      <c r="A20" s="26">
        <v>43208</v>
      </c>
      <c r="B20" s="12">
        <v>75</v>
      </c>
      <c r="C20" s="12">
        <v>89850</v>
      </c>
      <c r="D20" s="12">
        <v>1198</v>
      </c>
    </row>
    <row r="21" spans="1:4" x14ac:dyDescent="0.3">
      <c r="A21" s="26">
        <v>43259</v>
      </c>
      <c r="B21" s="12">
        <v>60</v>
      </c>
      <c r="C21" s="12">
        <v>30000</v>
      </c>
      <c r="D21" s="12">
        <v>500</v>
      </c>
    </row>
    <row r="22" spans="1:4" x14ac:dyDescent="0.3">
      <c r="A22" s="26">
        <v>43293</v>
      </c>
      <c r="B22" s="12">
        <v>29</v>
      </c>
      <c r="C22" s="12">
        <v>14500</v>
      </c>
      <c r="D22" s="12">
        <v>500</v>
      </c>
    </row>
    <row r="23" spans="1:4" x14ac:dyDescent="0.3">
      <c r="A23" s="26">
        <v>43327</v>
      </c>
      <c r="B23" s="12">
        <v>35</v>
      </c>
      <c r="C23" s="12">
        <v>41930</v>
      </c>
      <c r="D23" s="12">
        <v>1198</v>
      </c>
    </row>
    <row r="24" spans="1:4" x14ac:dyDescent="0.3">
      <c r="A24" s="26">
        <v>43395</v>
      </c>
      <c r="B24" s="12">
        <v>64</v>
      </c>
      <c r="C24" s="12">
        <v>14400</v>
      </c>
      <c r="D24" s="12">
        <v>225</v>
      </c>
    </row>
    <row r="25" spans="1:4" x14ac:dyDescent="0.3">
      <c r="A25" s="26">
        <v>43514</v>
      </c>
      <c r="B25" s="12">
        <v>4</v>
      </c>
      <c r="C25" s="12">
        <v>2000</v>
      </c>
      <c r="D25" s="12">
        <v>500</v>
      </c>
    </row>
    <row r="26" spans="1:4" x14ac:dyDescent="0.3">
      <c r="A26" s="11" t="s">
        <v>21</v>
      </c>
      <c r="B26" s="12">
        <v>166</v>
      </c>
      <c r="C26" s="12">
        <v>113538</v>
      </c>
      <c r="D26" s="12">
        <v>2048</v>
      </c>
    </row>
    <row r="27" spans="1:4" x14ac:dyDescent="0.3">
      <c r="A27" s="26">
        <v>43157</v>
      </c>
      <c r="B27" s="12">
        <v>27</v>
      </c>
      <c r="C27" s="12">
        <v>6075</v>
      </c>
      <c r="D27" s="12">
        <v>225</v>
      </c>
    </row>
    <row r="28" spans="1:4" x14ac:dyDescent="0.3">
      <c r="A28" s="26">
        <v>43174</v>
      </c>
      <c r="B28" s="12">
        <v>56</v>
      </c>
      <c r="C28" s="12">
        <v>67088</v>
      </c>
      <c r="D28" s="12">
        <v>1198</v>
      </c>
    </row>
    <row r="29" spans="1:4" x14ac:dyDescent="0.3">
      <c r="A29" s="26">
        <v>43616</v>
      </c>
      <c r="B29" s="12">
        <v>80</v>
      </c>
      <c r="C29" s="12">
        <v>40000</v>
      </c>
      <c r="D29" s="12">
        <v>500</v>
      </c>
    </row>
    <row r="30" spans="1:4" x14ac:dyDescent="0.3">
      <c r="A30" s="26">
        <v>43701</v>
      </c>
      <c r="B30" s="12">
        <v>3</v>
      </c>
      <c r="C30" s="12">
        <v>375</v>
      </c>
      <c r="D30" s="12">
        <v>125</v>
      </c>
    </row>
    <row r="31" spans="1:4" x14ac:dyDescent="0.3">
      <c r="A31" s="11" t="s">
        <v>48</v>
      </c>
      <c r="B31" s="12">
        <v>1202</v>
      </c>
      <c r="C31" s="12">
        <v>882873</v>
      </c>
      <c r="D31" s="12">
        <v>15067.5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4"/>
  <sheetViews>
    <sheetView workbookViewId="0">
      <selection activeCell="B8" sqref="B8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2.44140625" customWidth="1"/>
    <col min="8" max="8" width="10.6640625" customWidth="1"/>
    <col min="9" max="9" width="15" customWidth="1"/>
  </cols>
  <sheetData>
    <row r="1" spans="1:9" x14ac:dyDescent="0.3">
      <c r="A1" s="19" t="s">
        <v>11</v>
      </c>
      <c r="B1" s="19" t="s">
        <v>12</v>
      </c>
      <c r="C1" s="19" t="s">
        <v>13</v>
      </c>
      <c r="D1" s="19" t="s">
        <v>14</v>
      </c>
      <c r="E1" s="19" t="s">
        <v>15</v>
      </c>
      <c r="F1" s="19" t="s">
        <v>16</v>
      </c>
      <c r="G1" s="20" t="s">
        <v>17</v>
      </c>
      <c r="H1" s="19" t="s">
        <v>18</v>
      </c>
      <c r="I1" s="21" t="s">
        <v>19</v>
      </c>
    </row>
    <row r="2" spans="1:9" x14ac:dyDescent="0.3">
      <c r="A2" s="17">
        <v>43106</v>
      </c>
      <c r="B2" s="6" t="s">
        <v>27</v>
      </c>
      <c r="C2" s="6" t="s">
        <v>28</v>
      </c>
      <c r="D2" s="6" t="s">
        <v>34</v>
      </c>
      <c r="E2" s="6" t="s">
        <v>45</v>
      </c>
      <c r="F2" s="6">
        <v>95</v>
      </c>
      <c r="G2" s="6">
        <v>1198</v>
      </c>
      <c r="H2" s="6">
        <v>113810</v>
      </c>
      <c r="I2" s="7" t="s">
        <v>43</v>
      </c>
    </row>
    <row r="3" spans="1:9" x14ac:dyDescent="0.3">
      <c r="A3" s="17">
        <v>43123</v>
      </c>
      <c r="B3" s="6" t="s">
        <v>20</v>
      </c>
      <c r="C3" s="6" t="s">
        <v>35</v>
      </c>
      <c r="D3" s="6" t="s">
        <v>36</v>
      </c>
      <c r="E3" s="6" t="s">
        <v>39</v>
      </c>
      <c r="F3" s="6">
        <v>50</v>
      </c>
      <c r="G3" s="6">
        <v>500</v>
      </c>
      <c r="H3" s="6">
        <v>25000</v>
      </c>
      <c r="I3" s="7" t="s">
        <v>30</v>
      </c>
    </row>
    <row r="4" spans="1:9" x14ac:dyDescent="0.3">
      <c r="A4" s="17">
        <v>43140</v>
      </c>
      <c r="B4" s="6" t="s">
        <v>20</v>
      </c>
      <c r="C4" s="6" t="s">
        <v>35</v>
      </c>
      <c r="D4" s="6" t="s">
        <v>41</v>
      </c>
      <c r="E4" s="6" t="s">
        <v>45</v>
      </c>
      <c r="F4" s="6">
        <v>36</v>
      </c>
      <c r="G4" s="6">
        <v>1198</v>
      </c>
      <c r="H4" s="6">
        <v>43128</v>
      </c>
      <c r="I4" s="7" t="s">
        <v>33</v>
      </c>
    </row>
    <row r="5" spans="1:9" x14ac:dyDescent="0.3">
      <c r="A5" s="17">
        <v>43157</v>
      </c>
      <c r="B5" s="6" t="s">
        <v>20</v>
      </c>
      <c r="C5" s="6" t="s">
        <v>21</v>
      </c>
      <c r="D5" s="6" t="s">
        <v>22</v>
      </c>
      <c r="E5" s="6" t="s">
        <v>23</v>
      </c>
      <c r="F5" s="6">
        <v>27</v>
      </c>
      <c r="G5" s="6">
        <v>225</v>
      </c>
      <c r="H5" s="6">
        <v>6075</v>
      </c>
      <c r="I5" s="7" t="s">
        <v>24</v>
      </c>
    </row>
    <row r="6" spans="1:9" x14ac:dyDescent="0.3">
      <c r="A6" s="18">
        <v>43174</v>
      </c>
      <c r="B6" s="8" t="s">
        <v>25</v>
      </c>
      <c r="C6" s="8" t="s">
        <v>21</v>
      </c>
      <c r="D6" s="8" t="s">
        <v>26</v>
      </c>
      <c r="E6" s="8" t="s">
        <v>45</v>
      </c>
      <c r="F6" s="8">
        <v>56</v>
      </c>
      <c r="G6" s="8">
        <v>1198</v>
      </c>
      <c r="H6" s="8">
        <v>67088</v>
      </c>
      <c r="I6" s="9" t="s">
        <v>43</v>
      </c>
    </row>
    <row r="7" spans="1:9" x14ac:dyDescent="0.3">
      <c r="A7" s="17">
        <v>43191</v>
      </c>
      <c r="B7" s="6" t="s">
        <v>27</v>
      </c>
      <c r="C7" s="6" t="s">
        <v>28</v>
      </c>
      <c r="D7" s="6" t="s">
        <v>34</v>
      </c>
      <c r="E7" s="6" t="s">
        <v>39</v>
      </c>
      <c r="F7" s="6">
        <v>60</v>
      </c>
      <c r="G7" s="6">
        <v>500</v>
      </c>
      <c r="H7" s="6">
        <v>30000</v>
      </c>
      <c r="I7" s="7" t="s">
        <v>30</v>
      </c>
    </row>
    <row r="8" spans="1:9" x14ac:dyDescent="0.3">
      <c r="A8" s="17">
        <v>43208</v>
      </c>
      <c r="B8" s="6" t="s">
        <v>20</v>
      </c>
      <c r="C8" s="6" t="s">
        <v>28</v>
      </c>
      <c r="D8" s="6" t="s">
        <v>42</v>
      </c>
      <c r="E8" s="6" t="s">
        <v>45</v>
      </c>
      <c r="F8" s="6">
        <v>75</v>
      </c>
      <c r="G8" s="6">
        <v>1198</v>
      </c>
      <c r="H8" s="6">
        <v>89850</v>
      </c>
      <c r="I8" s="6" t="s">
        <v>33</v>
      </c>
    </row>
    <row r="9" spans="1:9" x14ac:dyDescent="0.3">
      <c r="A9" s="17">
        <v>43225</v>
      </c>
      <c r="B9" s="6" t="s">
        <v>20</v>
      </c>
      <c r="C9" s="6" t="s">
        <v>35</v>
      </c>
      <c r="D9" s="6" t="s">
        <v>41</v>
      </c>
      <c r="E9" s="6" t="s">
        <v>45</v>
      </c>
      <c r="F9" s="6">
        <v>90</v>
      </c>
      <c r="G9" s="6">
        <v>1198</v>
      </c>
      <c r="H9" s="6">
        <v>107820</v>
      </c>
      <c r="I9" s="6" t="s">
        <v>43</v>
      </c>
    </row>
    <row r="10" spans="1:9" x14ac:dyDescent="0.3">
      <c r="A10" s="17">
        <v>43242</v>
      </c>
      <c r="B10" s="6" t="s">
        <v>25</v>
      </c>
      <c r="C10" s="6" t="s">
        <v>31</v>
      </c>
      <c r="D10" s="6" t="s">
        <v>44</v>
      </c>
      <c r="E10" s="6" t="s">
        <v>45</v>
      </c>
      <c r="F10" s="6">
        <v>32</v>
      </c>
      <c r="G10" s="6">
        <v>1198</v>
      </c>
      <c r="H10" s="6">
        <v>38336</v>
      </c>
      <c r="I10" s="6" t="s">
        <v>30</v>
      </c>
    </row>
    <row r="11" spans="1:9" x14ac:dyDescent="0.3">
      <c r="A11" s="17">
        <v>43259</v>
      </c>
      <c r="B11" s="6" t="s">
        <v>27</v>
      </c>
      <c r="C11" s="6" t="s">
        <v>28</v>
      </c>
      <c r="D11" s="6" t="s">
        <v>34</v>
      </c>
      <c r="E11" s="6" t="s">
        <v>39</v>
      </c>
      <c r="F11" s="6">
        <v>60</v>
      </c>
      <c r="G11" s="6">
        <v>500</v>
      </c>
      <c r="H11" s="6">
        <v>30000</v>
      </c>
      <c r="I11" s="6" t="s">
        <v>43</v>
      </c>
    </row>
    <row r="12" spans="1:9" x14ac:dyDescent="0.3">
      <c r="A12" s="18">
        <v>43276</v>
      </c>
      <c r="B12" s="8" t="s">
        <v>20</v>
      </c>
      <c r="C12" s="8" t="s">
        <v>35</v>
      </c>
      <c r="D12" s="8" t="s">
        <v>40</v>
      </c>
      <c r="E12" s="8" t="s">
        <v>45</v>
      </c>
      <c r="F12" s="8">
        <v>90</v>
      </c>
      <c r="G12" s="8">
        <v>1198</v>
      </c>
      <c r="H12" s="8">
        <v>107820</v>
      </c>
      <c r="I12" s="8" t="s">
        <v>30</v>
      </c>
    </row>
    <row r="13" spans="1:9" x14ac:dyDescent="0.3">
      <c r="A13" s="17">
        <v>43293</v>
      </c>
      <c r="B13" s="6" t="s">
        <v>27</v>
      </c>
      <c r="C13" s="6" t="s">
        <v>28</v>
      </c>
      <c r="D13" s="6" t="s">
        <v>29</v>
      </c>
      <c r="E13" s="6" t="s">
        <v>39</v>
      </c>
      <c r="F13" s="6">
        <v>29</v>
      </c>
      <c r="G13" s="6">
        <v>500</v>
      </c>
      <c r="H13" s="6">
        <v>14500</v>
      </c>
      <c r="I13" s="6" t="s">
        <v>33</v>
      </c>
    </row>
    <row r="14" spans="1:9" x14ac:dyDescent="0.3">
      <c r="A14" s="18">
        <v>43310</v>
      </c>
      <c r="B14" s="8" t="s">
        <v>27</v>
      </c>
      <c r="C14" s="8" t="s">
        <v>31</v>
      </c>
      <c r="D14" s="8" t="s">
        <v>32</v>
      </c>
      <c r="E14" s="8" t="s">
        <v>39</v>
      </c>
      <c r="F14" s="8">
        <v>81</v>
      </c>
      <c r="G14" s="8">
        <v>500</v>
      </c>
      <c r="H14" s="8">
        <v>40500</v>
      </c>
      <c r="I14" s="9" t="s">
        <v>24</v>
      </c>
    </row>
    <row r="15" spans="1:9" x14ac:dyDescent="0.3">
      <c r="A15" s="17">
        <v>43327</v>
      </c>
      <c r="B15" s="6" t="s">
        <v>27</v>
      </c>
      <c r="C15" s="6" t="s">
        <v>28</v>
      </c>
      <c r="D15" s="6" t="s">
        <v>34</v>
      </c>
      <c r="E15" s="6" t="s">
        <v>45</v>
      </c>
      <c r="F15" s="6">
        <v>35</v>
      </c>
      <c r="G15" s="6">
        <v>1198</v>
      </c>
      <c r="H15" s="6">
        <v>41930</v>
      </c>
      <c r="I15" s="7" t="s">
        <v>33</v>
      </c>
    </row>
    <row r="16" spans="1:9" x14ac:dyDescent="0.3">
      <c r="A16" s="17">
        <v>43344</v>
      </c>
      <c r="B16" s="6" t="s">
        <v>20</v>
      </c>
      <c r="C16" s="6" t="s">
        <v>31</v>
      </c>
      <c r="D16" s="6" t="s">
        <v>38</v>
      </c>
      <c r="E16" s="6" t="s">
        <v>37</v>
      </c>
      <c r="F16" s="6">
        <v>2</v>
      </c>
      <c r="G16" s="6">
        <v>125</v>
      </c>
      <c r="H16" s="6">
        <v>250</v>
      </c>
      <c r="I16" s="7" t="s">
        <v>24</v>
      </c>
    </row>
    <row r="17" spans="1:9" x14ac:dyDescent="0.3">
      <c r="A17" s="18">
        <v>43378</v>
      </c>
      <c r="B17" s="8" t="s">
        <v>20</v>
      </c>
      <c r="C17" s="8" t="s">
        <v>35</v>
      </c>
      <c r="D17" s="8" t="s">
        <v>40</v>
      </c>
      <c r="E17" s="8" t="s">
        <v>39</v>
      </c>
      <c r="F17" s="8">
        <v>28</v>
      </c>
      <c r="G17" s="8">
        <v>500</v>
      </c>
      <c r="H17" s="8">
        <v>14000</v>
      </c>
      <c r="I17" s="8" t="s">
        <v>30</v>
      </c>
    </row>
    <row r="18" spans="1:9" x14ac:dyDescent="0.3">
      <c r="A18" s="17">
        <v>43395</v>
      </c>
      <c r="B18" s="6" t="s">
        <v>27</v>
      </c>
      <c r="C18" s="6" t="s">
        <v>28</v>
      </c>
      <c r="D18" s="6" t="s">
        <v>34</v>
      </c>
      <c r="E18" s="6" t="s">
        <v>23</v>
      </c>
      <c r="F18" s="6">
        <v>64</v>
      </c>
      <c r="G18" s="6">
        <v>225</v>
      </c>
      <c r="H18" s="6">
        <v>14400</v>
      </c>
      <c r="I18" s="7" t="s">
        <v>24</v>
      </c>
    </row>
    <row r="19" spans="1:9" x14ac:dyDescent="0.3">
      <c r="A19" s="18">
        <v>43412</v>
      </c>
      <c r="B19" s="8" t="s">
        <v>27</v>
      </c>
      <c r="C19" s="8" t="s">
        <v>31</v>
      </c>
      <c r="D19" s="8" t="s">
        <v>32</v>
      </c>
      <c r="E19" s="8" t="s">
        <v>23</v>
      </c>
      <c r="F19" s="8">
        <v>15</v>
      </c>
      <c r="G19" s="8">
        <v>225</v>
      </c>
      <c r="H19" s="8">
        <v>3375</v>
      </c>
      <c r="I19" s="9" t="s">
        <v>33</v>
      </c>
    </row>
    <row r="20" spans="1:9" x14ac:dyDescent="0.3">
      <c r="A20" s="17">
        <v>43429</v>
      </c>
      <c r="B20" s="6" t="s">
        <v>20</v>
      </c>
      <c r="C20" s="6" t="s">
        <v>35</v>
      </c>
      <c r="D20" s="6" t="s">
        <v>36</v>
      </c>
      <c r="E20" s="6" t="s">
        <v>46</v>
      </c>
      <c r="F20" s="6">
        <v>96</v>
      </c>
      <c r="G20" s="6">
        <v>58.5</v>
      </c>
      <c r="H20" s="6">
        <v>5616</v>
      </c>
      <c r="I20" s="6" t="s">
        <v>24</v>
      </c>
    </row>
    <row r="21" spans="1:9" x14ac:dyDescent="0.3">
      <c r="A21" s="18">
        <v>43514</v>
      </c>
      <c r="B21" s="8" t="s">
        <v>27</v>
      </c>
      <c r="C21" s="8" t="s">
        <v>28</v>
      </c>
      <c r="D21" s="8" t="s">
        <v>34</v>
      </c>
      <c r="E21" s="8" t="s">
        <v>39</v>
      </c>
      <c r="F21" s="8">
        <v>4</v>
      </c>
      <c r="G21" s="8">
        <v>500</v>
      </c>
      <c r="H21" s="8">
        <v>2000</v>
      </c>
      <c r="I21" s="8" t="s">
        <v>30</v>
      </c>
    </row>
    <row r="22" spans="1:9" x14ac:dyDescent="0.3">
      <c r="A22" s="17">
        <v>43616</v>
      </c>
      <c r="B22" s="6" t="s">
        <v>20</v>
      </c>
      <c r="C22" s="6" t="s">
        <v>21</v>
      </c>
      <c r="D22" s="6" t="s">
        <v>22</v>
      </c>
      <c r="E22" s="6" t="s">
        <v>39</v>
      </c>
      <c r="F22" s="6">
        <v>80</v>
      </c>
      <c r="G22" s="6">
        <v>500</v>
      </c>
      <c r="H22" s="6">
        <v>40000</v>
      </c>
      <c r="I22" s="6" t="s">
        <v>30</v>
      </c>
    </row>
    <row r="23" spans="1:9" x14ac:dyDescent="0.3">
      <c r="A23" s="18">
        <v>43701</v>
      </c>
      <c r="B23" s="8" t="s">
        <v>25</v>
      </c>
      <c r="C23" s="8" t="s">
        <v>21</v>
      </c>
      <c r="D23" s="8" t="s">
        <v>26</v>
      </c>
      <c r="E23" s="8" t="s">
        <v>37</v>
      </c>
      <c r="F23" s="8">
        <v>3</v>
      </c>
      <c r="G23" s="8">
        <v>125</v>
      </c>
      <c r="H23" s="8">
        <v>375</v>
      </c>
      <c r="I23" s="8" t="s">
        <v>30</v>
      </c>
    </row>
    <row r="24" spans="1:9" x14ac:dyDescent="0.3">
      <c r="A24" s="25">
        <v>43803</v>
      </c>
      <c r="B24" s="2" t="s">
        <v>20</v>
      </c>
      <c r="C24" s="2" t="s">
        <v>35</v>
      </c>
      <c r="D24" s="2" t="s">
        <v>41</v>
      </c>
      <c r="E24" s="2" t="s">
        <v>39</v>
      </c>
      <c r="F24" s="2">
        <v>94</v>
      </c>
      <c r="G24" s="2">
        <v>500</v>
      </c>
      <c r="H24" s="2">
        <v>47000</v>
      </c>
      <c r="I24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325C-65B9-4278-909C-CFF215CF7C46}">
  <dimension ref="A3:B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2" x14ac:dyDescent="0.3">
      <c r="A3" s="10" t="s">
        <v>47</v>
      </c>
      <c r="B3" t="s">
        <v>49</v>
      </c>
    </row>
    <row r="4" spans="1:2" x14ac:dyDescent="0.3">
      <c r="A4" s="11" t="s">
        <v>20</v>
      </c>
      <c r="B4" s="12">
        <v>326123</v>
      </c>
    </row>
    <row r="5" spans="1:2" x14ac:dyDescent="0.3">
      <c r="A5" s="11" t="s">
        <v>27</v>
      </c>
      <c r="B5" s="12">
        <v>113810</v>
      </c>
    </row>
    <row r="6" spans="1:2" x14ac:dyDescent="0.3">
      <c r="A6" s="11" t="s">
        <v>25</v>
      </c>
      <c r="B6" s="12">
        <v>67463</v>
      </c>
    </row>
    <row r="7" spans="1:2" x14ac:dyDescent="0.3">
      <c r="A7" s="11" t="s">
        <v>48</v>
      </c>
      <c r="B7" s="12">
        <v>507396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CD1E-416A-4678-AF2D-2EB780D99554}">
  <dimension ref="A3:C34"/>
  <sheetViews>
    <sheetView workbookViewId="0">
      <selection activeCell="A25" sqref="A25:B27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3" x14ac:dyDescent="0.3">
      <c r="A3" s="10" t="s">
        <v>47</v>
      </c>
      <c r="B3" t="s">
        <v>49</v>
      </c>
    </row>
    <row r="4" spans="1:3" x14ac:dyDescent="0.3">
      <c r="A4" s="11" t="s">
        <v>34</v>
      </c>
      <c r="B4" s="12">
        <v>113810</v>
      </c>
    </row>
    <row r="5" spans="1:3" x14ac:dyDescent="0.3">
      <c r="A5" s="11" t="s">
        <v>22</v>
      </c>
      <c r="B5" s="12">
        <v>46075</v>
      </c>
    </row>
    <row r="6" spans="1:3" x14ac:dyDescent="0.3">
      <c r="A6" s="11" t="s">
        <v>38</v>
      </c>
      <c r="B6" s="12">
        <v>250</v>
      </c>
    </row>
    <row r="7" spans="1:3" x14ac:dyDescent="0.3">
      <c r="A7" s="11" t="s">
        <v>41</v>
      </c>
      <c r="B7" s="12">
        <v>150948</v>
      </c>
    </row>
    <row r="8" spans="1:3" x14ac:dyDescent="0.3">
      <c r="A8" s="11" t="s">
        <v>36</v>
      </c>
      <c r="B8" s="12">
        <v>25000</v>
      </c>
    </row>
    <row r="9" spans="1:3" x14ac:dyDescent="0.3">
      <c r="A9" s="11" t="s">
        <v>40</v>
      </c>
      <c r="B9" s="12">
        <v>14000</v>
      </c>
      <c r="C9" s="10"/>
    </row>
    <row r="10" spans="1:3" x14ac:dyDescent="0.3">
      <c r="A10" s="11" t="s">
        <v>26</v>
      </c>
      <c r="B10" s="12">
        <v>67463</v>
      </c>
    </row>
    <row r="11" spans="1:3" x14ac:dyDescent="0.3">
      <c r="A11" s="11" t="s">
        <v>42</v>
      </c>
      <c r="B11" s="12">
        <v>89850</v>
      </c>
    </row>
    <row r="12" spans="1:3" x14ac:dyDescent="0.3">
      <c r="A12" s="11" t="s">
        <v>48</v>
      </c>
      <c r="B12" s="12">
        <v>507396</v>
      </c>
    </row>
    <row r="25" spans="1:3" x14ac:dyDescent="0.3">
      <c r="A25" s="10" t="s">
        <v>47</v>
      </c>
      <c r="B25" t="s">
        <v>49</v>
      </c>
      <c r="C25" s="10"/>
    </row>
    <row r="26" spans="1:3" x14ac:dyDescent="0.3">
      <c r="A26" s="11" t="s">
        <v>34</v>
      </c>
      <c r="B26" s="12">
        <v>113810</v>
      </c>
    </row>
    <row r="27" spans="1:3" x14ac:dyDescent="0.3">
      <c r="A27" s="11" t="s">
        <v>22</v>
      </c>
      <c r="B27" s="12">
        <v>46075</v>
      </c>
    </row>
    <row r="28" spans="1:3" x14ac:dyDescent="0.3">
      <c r="A28" s="11" t="s">
        <v>38</v>
      </c>
      <c r="B28" s="12">
        <v>250</v>
      </c>
    </row>
    <row r="29" spans="1:3" x14ac:dyDescent="0.3">
      <c r="A29" s="11" t="s">
        <v>41</v>
      </c>
      <c r="B29" s="12">
        <v>150948</v>
      </c>
    </row>
    <row r="30" spans="1:3" x14ac:dyDescent="0.3">
      <c r="A30" s="11" t="s">
        <v>36</v>
      </c>
      <c r="B30" s="12">
        <v>25000</v>
      </c>
    </row>
    <row r="31" spans="1:3" x14ac:dyDescent="0.3">
      <c r="A31" s="11" t="s">
        <v>40</v>
      </c>
      <c r="B31" s="12">
        <v>14000</v>
      </c>
    </row>
    <row r="32" spans="1:3" x14ac:dyDescent="0.3">
      <c r="A32" s="11" t="s">
        <v>26</v>
      </c>
      <c r="B32" s="12">
        <v>67463</v>
      </c>
    </row>
    <row r="33" spans="1:2" x14ac:dyDescent="0.3">
      <c r="A33" s="11" t="s">
        <v>42</v>
      </c>
      <c r="B33" s="12">
        <v>89850</v>
      </c>
    </row>
    <row r="34" spans="1:2" x14ac:dyDescent="0.3">
      <c r="A34" s="11" t="s">
        <v>48</v>
      </c>
      <c r="B34" s="12">
        <v>507396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tabSelected="1" zoomScale="115" zoomScaleNormal="115" workbookViewId="0">
      <selection activeCell="H9" sqref="H9"/>
    </sheetView>
  </sheetViews>
  <sheetFormatPr defaultRowHeight="14.4" x14ac:dyDescent="0.3"/>
  <cols>
    <col min="1" max="1" width="9.6640625" bestFit="1" customWidth="1"/>
    <col min="2" max="2" width="6.88671875" bestFit="1" customWidth="1"/>
    <col min="3" max="3" width="8.5546875" bestFit="1" customWidth="1"/>
    <col min="4" max="4" width="9.109375" bestFit="1" customWidth="1"/>
    <col min="5" max="5" width="12.6640625" bestFit="1" customWidth="1"/>
    <col min="6" max="6" width="5.33203125" bestFit="1" customWidth="1"/>
    <col min="7" max="7" width="11" bestFit="1" customWidth="1"/>
    <col min="8" max="8" width="8.77734375" bestFit="1" customWidth="1"/>
    <col min="9" max="9" width="13.21875" bestFit="1" customWidth="1"/>
  </cols>
  <sheetData>
    <row r="1" spans="1:9" x14ac:dyDescent="0.3">
      <c r="A1" s="13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5" t="s">
        <v>17</v>
      </c>
      <c r="H1" s="14" t="s">
        <v>18</v>
      </c>
      <c r="I1" s="15" t="s">
        <v>19</v>
      </c>
    </row>
    <row r="2" spans="1:9" x14ac:dyDescent="0.3">
      <c r="A2">
        <v>43106</v>
      </c>
      <c r="B2" t="s">
        <v>27</v>
      </c>
      <c r="C2" t="s">
        <v>28</v>
      </c>
      <c r="D2" t="s">
        <v>34</v>
      </c>
      <c r="E2" t="s">
        <v>45</v>
      </c>
      <c r="F2">
        <v>95</v>
      </c>
      <c r="G2">
        <v>1198</v>
      </c>
      <c r="H2">
        <v>113810</v>
      </c>
      <c r="I2" t="s">
        <v>43</v>
      </c>
    </row>
    <row r="3" spans="1:9" x14ac:dyDescent="0.3">
      <c r="A3">
        <v>43140</v>
      </c>
      <c r="B3" t="s">
        <v>20</v>
      </c>
      <c r="C3" t="s">
        <v>35</v>
      </c>
      <c r="D3" t="s">
        <v>41</v>
      </c>
      <c r="E3" t="s">
        <v>45</v>
      </c>
      <c r="F3">
        <v>36</v>
      </c>
      <c r="G3">
        <v>1198</v>
      </c>
      <c r="H3">
        <v>43128</v>
      </c>
      <c r="I3" t="s">
        <v>33</v>
      </c>
    </row>
    <row r="4" spans="1:9" x14ac:dyDescent="0.3">
      <c r="A4">
        <v>43157</v>
      </c>
      <c r="B4" t="s">
        <v>20</v>
      </c>
      <c r="C4" t="s">
        <v>21</v>
      </c>
      <c r="D4" t="s">
        <v>22</v>
      </c>
      <c r="E4" t="s">
        <v>23</v>
      </c>
      <c r="F4">
        <v>27</v>
      </c>
      <c r="G4">
        <v>225</v>
      </c>
      <c r="H4">
        <v>6075</v>
      </c>
      <c r="I4" t="s">
        <v>24</v>
      </c>
    </row>
    <row r="5" spans="1:9" x14ac:dyDescent="0.3">
      <c r="A5">
        <v>43174</v>
      </c>
      <c r="B5" t="s">
        <v>25</v>
      </c>
      <c r="C5" t="s">
        <v>21</v>
      </c>
      <c r="D5" t="s">
        <v>26</v>
      </c>
      <c r="E5" t="s">
        <v>45</v>
      </c>
      <c r="F5">
        <v>56</v>
      </c>
      <c r="G5">
        <v>1198</v>
      </c>
      <c r="H5">
        <v>67088</v>
      </c>
      <c r="I5" t="s">
        <v>43</v>
      </c>
    </row>
    <row r="6" spans="1:9" x14ac:dyDescent="0.3">
      <c r="A6">
        <v>43208</v>
      </c>
      <c r="B6" t="s">
        <v>20</v>
      </c>
      <c r="C6" t="s">
        <v>28</v>
      </c>
      <c r="D6" t="s">
        <v>42</v>
      </c>
      <c r="E6" t="s">
        <v>45</v>
      </c>
      <c r="F6">
        <v>75</v>
      </c>
      <c r="G6">
        <v>1198</v>
      </c>
      <c r="H6">
        <v>89850</v>
      </c>
      <c r="I6" t="s">
        <v>33</v>
      </c>
    </row>
    <row r="7" spans="1:9" x14ac:dyDescent="0.3">
      <c r="A7">
        <v>43225</v>
      </c>
      <c r="B7" t="s">
        <v>20</v>
      </c>
      <c r="C7" t="s">
        <v>35</v>
      </c>
      <c r="D7" t="s">
        <v>41</v>
      </c>
      <c r="E7" t="s">
        <v>45</v>
      </c>
      <c r="F7">
        <v>90</v>
      </c>
      <c r="G7">
        <v>1198</v>
      </c>
      <c r="H7">
        <v>107820</v>
      </c>
      <c r="I7" t="s">
        <v>43</v>
      </c>
    </row>
    <row r="8" spans="1:9" x14ac:dyDescent="0.3">
      <c r="A8">
        <v>43344</v>
      </c>
      <c r="B8" t="s">
        <v>20</v>
      </c>
      <c r="C8" t="s">
        <v>31</v>
      </c>
      <c r="D8" t="s">
        <v>38</v>
      </c>
      <c r="E8" t="s">
        <v>37</v>
      </c>
      <c r="F8">
        <v>2</v>
      </c>
      <c r="G8">
        <v>125</v>
      </c>
      <c r="H8">
        <v>250</v>
      </c>
      <c r="I8" t="s">
        <v>24</v>
      </c>
    </row>
    <row r="9" spans="1:9" x14ac:dyDescent="0.3">
      <c r="A9">
        <v>43701</v>
      </c>
      <c r="B9" t="s">
        <v>25</v>
      </c>
      <c r="C9" t="s">
        <v>21</v>
      </c>
      <c r="D9" t="s">
        <v>26</v>
      </c>
      <c r="E9" t="s">
        <v>37</v>
      </c>
      <c r="F9">
        <v>3</v>
      </c>
      <c r="G9">
        <v>125</v>
      </c>
      <c r="H9">
        <v>375</v>
      </c>
      <c r="I9" t="s">
        <v>30</v>
      </c>
    </row>
    <row r="10" spans="1:9" x14ac:dyDescent="0.3">
      <c r="A10">
        <v>43123</v>
      </c>
      <c r="B10" t="s">
        <v>20</v>
      </c>
      <c r="C10" t="s">
        <v>35</v>
      </c>
      <c r="D10" t="s">
        <v>36</v>
      </c>
      <c r="E10" t="s">
        <v>39</v>
      </c>
      <c r="F10">
        <v>50</v>
      </c>
      <c r="G10">
        <v>500</v>
      </c>
      <c r="H10">
        <v>25000</v>
      </c>
      <c r="I10" t="s">
        <v>30</v>
      </c>
    </row>
    <row r="11" spans="1:9" x14ac:dyDescent="0.3">
      <c r="A11">
        <v>43378</v>
      </c>
      <c r="B11" t="s">
        <v>20</v>
      </c>
      <c r="C11" t="s">
        <v>35</v>
      </c>
      <c r="D11" t="s">
        <v>40</v>
      </c>
      <c r="E11" t="s">
        <v>39</v>
      </c>
      <c r="F11">
        <v>28</v>
      </c>
      <c r="G11">
        <v>500</v>
      </c>
      <c r="H11">
        <v>14000</v>
      </c>
      <c r="I11" t="s">
        <v>30</v>
      </c>
    </row>
    <row r="12" spans="1:9" x14ac:dyDescent="0.3">
      <c r="A12">
        <v>43616</v>
      </c>
      <c r="B12" t="s">
        <v>20</v>
      </c>
      <c r="C12" t="s">
        <v>21</v>
      </c>
      <c r="D12" t="s">
        <v>22</v>
      </c>
      <c r="E12" t="s">
        <v>39</v>
      </c>
      <c r="F12">
        <v>80</v>
      </c>
      <c r="G12">
        <v>500</v>
      </c>
      <c r="H12">
        <v>40000</v>
      </c>
      <c r="I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Practice Date Formule</vt:lpstr>
      <vt:lpstr>Sheet4</vt:lpstr>
      <vt:lpstr>Sheet1</vt:lpstr>
      <vt:lpstr>Sheet2</vt:lpstr>
      <vt:lpstr>Sheet8</vt:lpstr>
      <vt:lpstr>Sheet9</vt:lpstr>
      <vt:lpstr>Sheet5</vt:lpstr>
      <vt:lpstr>Sheet7</vt:lpstr>
      <vt:lpstr>Sheet10</vt:lpstr>
      <vt:lpstr>Sheet6</vt:lpstr>
      <vt:lpstr>Total_Profit</vt:lpstr>
      <vt:lpstr>Unit_Sales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cp:lastPrinted>2026-01-23T06:17:48Z</cp:lastPrinted>
  <dcterms:created xsi:type="dcterms:W3CDTF">2015-06-05T18:17:20Z</dcterms:created>
  <dcterms:modified xsi:type="dcterms:W3CDTF">2026-05-14T10:36:46Z</dcterms:modified>
</cp:coreProperties>
</file>