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Cadd Mentor\Student_Class_Code\Sajid Sir Data Analytics\Excel_Practice_Files\"/>
    </mc:Choice>
  </mc:AlternateContent>
  <xr:revisionPtr revIDLastSave="0" documentId="13_ncr:1_{7CABAAAB-3D42-4287-A00D-93E3C490E5F0}" xr6:coauthVersionLast="36" xr6:coauthVersionMax="36" xr10:uidLastSave="{00000000-0000-0000-0000-000000000000}"/>
  <bookViews>
    <workbookView xWindow="0" yWindow="0" windowWidth="22260" windowHeight="12648" firstSheet="1" activeTab="4" xr2:uid="{00000000-000D-0000-FFFF-FFFF00000000}"/>
  </bookViews>
  <sheets>
    <sheet name="Practice Date Formule" sheetId="1" r:id="rId1"/>
    <sheet name="Sheet3" sheetId="5" r:id="rId2"/>
    <sheet name="Some Advance Maths" sheetId="2" r:id="rId3"/>
    <sheet name="Sheet4" sheetId="6" r:id="rId4"/>
    <sheet name="Sheet5" sheetId="7" r:id="rId5"/>
    <sheet name="Sheet6" sheetId="8" r:id="rId6"/>
    <sheet name="Sheet1" sheetId="9" r:id="rId7"/>
    <sheet name="Sheet2" sheetId="10" r:id="rId8"/>
    <sheet name="Sheet7" sheetId="11" r:id="rId9"/>
    <sheet name="Sheet8" sheetId="12" r:id="rId10"/>
    <sheet name="Sheet9" sheetId="13" r:id="rId11"/>
  </sheet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3" l="1"/>
  <c r="F10" i="12"/>
  <c r="F14" i="11"/>
  <c r="E11" i="11"/>
  <c r="F9" i="11"/>
  <c r="H12" i="9" l="1"/>
  <c r="H9" i="9"/>
  <c r="H7" i="9"/>
  <c r="H5" i="9"/>
  <c r="D11" i="10"/>
  <c r="D9" i="10"/>
  <c r="F10" i="9"/>
  <c r="I7" i="6" l="1"/>
  <c r="F4" i="6"/>
  <c r="C8" i="6"/>
  <c r="R12" i="2" l="1"/>
  <c r="R10" i="2"/>
  <c r="B5" i="1" l="1"/>
  <c r="B2" i="1"/>
  <c r="D2" i="1" s="1"/>
  <c r="A2" i="1"/>
  <c r="I2" i="1" s="1"/>
  <c r="I4" i="1" l="1"/>
  <c r="G2" i="1"/>
  <c r="H2" i="1"/>
  <c r="F2" i="1"/>
  <c r="E2" i="1"/>
  <c r="C2" i="1"/>
</calcChain>
</file>

<file path=xl/sharedStrings.xml><?xml version="1.0" encoding="utf-8"?>
<sst xmlns="http://schemas.openxmlformats.org/spreadsheetml/2006/main" count="591" uniqueCount="57">
  <si>
    <t>Today</t>
  </si>
  <si>
    <t>Now</t>
  </si>
  <si>
    <t>Year</t>
  </si>
  <si>
    <t>Month</t>
  </si>
  <si>
    <t>Day</t>
  </si>
  <si>
    <t>Hours</t>
  </si>
  <si>
    <t>Mins</t>
  </si>
  <si>
    <t>Seconds</t>
  </si>
  <si>
    <t>Date+5</t>
  </si>
  <si>
    <t>Months+2</t>
  </si>
  <si>
    <t>Years+6</t>
  </si>
  <si>
    <t>OrderDate</t>
  </si>
  <si>
    <t>Region</t>
  </si>
  <si>
    <t>Manager</t>
  </si>
  <si>
    <t>SalesMan</t>
  </si>
  <si>
    <t>Item</t>
  </si>
  <si>
    <t>Units</t>
  </si>
  <si>
    <t>Unit_price</t>
  </si>
  <si>
    <t>Sale_amt</t>
  </si>
  <si>
    <t>Payment Type</t>
  </si>
  <si>
    <t>Central</t>
  </si>
  <si>
    <t>Timothy</t>
  </si>
  <si>
    <t>David</t>
  </si>
  <si>
    <t>Cell Phone</t>
  </si>
  <si>
    <t>NET BANKING</t>
  </si>
  <si>
    <t>West</t>
  </si>
  <si>
    <t>Stephen</t>
  </si>
  <si>
    <t>East</t>
  </si>
  <si>
    <t>Martha</t>
  </si>
  <si>
    <t>Diana</t>
  </si>
  <si>
    <t>CASH</t>
  </si>
  <si>
    <t>Douglas</t>
  </si>
  <si>
    <t>Karen</t>
  </si>
  <si>
    <t>DEBIT CARD</t>
  </si>
  <si>
    <t>Alexander</t>
  </si>
  <si>
    <t>Hermann</t>
  </si>
  <si>
    <t>Shelli</t>
  </si>
  <si>
    <t>Desk</t>
  </si>
  <si>
    <t>John</t>
  </si>
  <si>
    <t>Home Theater</t>
  </si>
  <si>
    <t>Sigal</t>
  </si>
  <si>
    <t>Luis</t>
  </si>
  <si>
    <t>Steven</t>
  </si>
  <si>
    <t>UPI</t>
  </si>
  <si>
    <t>Michael</t>
  </si>
  <si>
    <t>Television</t>
  </si>
  <si>
    <t>Video Games</t>
  </si>
  <si>
    <t>Row Labels</t>
  </si>
  <si>
    <t>Grand Total</t>
  </si>
  <si>
    <t>Sum of Sale_amt</t>
  </si>
  <si>
    <t>Max of Units</t>
  </si>
  <si>
    <t>Sales Unit</t>
  </si>
  <si>
    <t>Unit Price</t>
  </si>
  <si>
    <t>Amount</t>
  </si>
  <si>
    <t>RowNumber</t>
  </si>
  <si>
    <t>Column Number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</si>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</sst>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2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3">
    <xf numFmtId="0" fontId="0" fillId="0" borderId="0"/>
    <xf numFmtId="0" fontId="2" fillId="0" borderId="0"/>
    <xf numFmtId="43" fontId="4" fillId="0" borderId="0" applyFont="0" applyFill="0" applyBorder="0" applyAlignment="0" applyProtection="0"/>
  </cellStyleXfs>
  <cellXfs count="36">
    <xf numFmtId="0" fontId="0" fillId="0" borderId="0" xfId="0"/>
    <xf numFmtId="0" fontId="0" fillId="2" borderId="0" xfId="0" applyFill="1"/>
    <xf numFmtId="0" fontId="0" fillId="4" borderId="1" xfId="0" applyFont="1" applyFill="1" applyBorder="1"/>
    <xf numFmtId="0" fontId="0" fillId="0" borderId="1" xfId="0" applyFont="1" applyBorder="1"/>
    <xf numFmtId="14" fontId="0" fillId="0" borderId="0" xfId="0" applyNumberFormat="1"/>
    <xf numFmtId="22" fontId="0" fillId="0" borderId="0" xfId="0" applyNumberFormat="1"/>
    <xf numFmtId="0" fontId="3" fillId="3" borderId="0" xfId="1" applyNumberFormat="1" applyFont="1" applyFill="1" applyBorder="1" applyAlignment="1"/>
    <xf numFmtId="43" fontId="1" fillId="3" borderId="0" xfId="2" applyNumberFormat="1" applyFont="1" applyFill="1" applyBorder="1" applyAlignment="1">
      <alignment horizontal="left" vertical="center"/>
    </xf>
    <xf numFmtId="43" fontId="1" fillId="3" borderId="3" xfId="2" applyNumberFormat="1" applyFont="1" applyFill="1" applyBorder="1" applyAlignment="1">
      <alignment horizontal="left" vertical="center"/>
    </xf>
    <xf numFmtId="0" fontId="0" fillId="4" borderId="3" xfId="0" applyFont="1" applyFill="1" applyBorder="1"/>
    <xf numFmtId="0" fontId="0" fillId="4" borderId="4" xfId="0" applyFont="1" applyFill="1" applyBorder="1"/>
    <xf numFmtId="0" fontId="0" fillId="0" borderId="3" xfId="0" applyFont="1" applyBorder="1"/>
    <xf numFmtId="0" fontId="0" fillId="0" borderId="4" xfId="0" applyFont="1" applyBorder="1"/>
    <xf numFmtId="14" fontId="0" fillId="4" borderId="1" xfId="0" applyNumberFormat="1" applyFont="1" applyFill="1" applyBorder="1"/>
    <xf numFmtId="14" fontId="0" fillId="0" borderId="1" xfId="0" applyNumberFormat="1" applyFont="1" applyBorder="1"/>
    <xf numFmtId="14" fontId="0" fillId="4" borderId="2" xfId="0" applyNumberFormat="1" applyFont="1" applyFill="1" applyBorder="1"/>
    <xf numFmtId="14" fontId="0" fillId="0" borderId="2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0" borderId="0" xfId="0" pivotButton="1" applyAlignment="1">
      <alignment horizontal="left"/>
    </xf>
    <xf numFmtId="0" fontId="0" fillId="0" borderId="0" xfId="0" pivotButton="1" applyNumberFormat="1"/>
    <xf numFmtId="10" fontId="0" fillId="0" borderId="0" xfId="0" pivotButton="1" applyNumberFormat="1"/>
    <xf numFmtId="0" fontId="3" fillId="3" borderId="2" xfId="1" applyNumberFormat="1" applyFont="1" applyFill="1" applyBorder="1" applyAlignment="1"/>
    <xf numFmtId="0" fontId="3" fillId="3" borderId="3" xfId="1" applyNumberFormat="1" applyFont="1" applyFill="1" applyBorder="1" applyAlignment="1"/>
    <xf numFmtId="0" fontId="3" fillId="3" borderId="4" xfId="1" applyNumberFormat="1" applyFont="1" applyFill="1" applyBorder="1" applyAlignment="1"/>
    <xf numFmtId="0" fontId="0" fillId="4" borderId="0" xfId="0" applyFont="1" applyFill="1" applyBorder="1"/>
    <xf numFmtId="0" fontId="0" fillId="4" borderId="5" xfId="0" applyFont="1" applyFill="1" applyBorder="1"/>
    <xf numFmtId="0" fontId="3" fillId="3" borderId="6" xfId="1" applyNumberFormat="1" applyFont="1" applyFill="1" applyBorder="1" applyAlignment="1"/>
    <xf numFmtId="0" fontId="3" fillId="3" borderId="1" xfId="1" applyNumberFormat="1" applyFont="1" applyFill="1" applyBorder="1" applyAlignment="1"/>
    <xf numFmtId="43" fontId="1" fillId="3" borderId="1" xfId="2" applyNumberFormat="1" applyFont="1" applyFill="1" applyBorder="1" applyAlignment="1">
      <alignment horizontal="left" vertical="center"/>
    </xf>
    <xf numFmtId="0" fontId="3" fillId="3" borderId="5" xfId="1" applyNumberFormat="1" applyFont="1" applyFill="1" applyBorder="1" applyAlignment="1"/>
    <xf numFmtId="14" fontId="0" fillId="4" borderId="6" xfId="0" applyNumberFormat="1" applyFont="1" applyFill="1" applyBorder="1"/>
    <xf numFmtId="14" fontId="0" fillId="0" borderId="6" xfId="0" applyNumberFormat="1" applyFont="1" applyBorder="1"/>
    <xf numFmtId="0" fontId="0" fillId="0" borderId="5" xfId="0" applyFont="1" applyBorder="1"/>
  </cellXfs>
  <cellStyles count="3">
    <cellStyle name="Comma 2" xfId="2" xr:uid="{8E94604C-1601-4341-B1AB-C1477B696093}"/>
    <cellStyle name="Normal" xfId="0" builtinId="0"/>
    <cellStyle name="Normal 2" xfId="1" xr:uid="{33EE3055-F96F-42A2-BC68-7FC7D5BD15B3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44.426864004628" createdVersion="6" refreshedVersion="6" minRefreshableVersion="3" recordCount="43" xr:uid="{DB653F5C-2A71-4A95-9329-485E4E9921FE}">
  <cacheSource type="worksheet">
    <worksheetSource name="Table3"/>
  </cacheSource>
  <cacheFields count="10">
    <cacheField name="OrderDate" numFmtId="14">
      <sharedItems containsSemiMixedTypes="0" containsNonDate="0" containsDate="1" containsString="0" minDate="2018-01-06T00:00:00" maxDate="2019-12-22T00:00:00"/>
    </cacheField>
    <cacheField name="Region" numFmtId="0">
      <sharedItems/>
    </cacheField>
    <cacheField name="Manager" numFmtId="0">
      <sharedItems count="4">
        <s v="Martha"/>
        <s v="Hermann"/>
        <s v="Timothy"/>
        <s v="Douglas"/>
      </sharedItems>
    </cacheField>
    <cacheField name="SalesMan" numFmtId="0">
      <sharedItems/>
    </cacheField>
    <cacheField name="Item" numFmtId="0">
      <sharedItems/>
    </cacheField>
    <cacheField name="Units" numFmtId="0">
      <sharedItems containsSemiMixedTypes="0" containsString="0" containsNumber="1" containsInteger="1" minValue="2" maxValue="96"/>
    </cacheField>
    <cacheField name="Unit_price" numFmtId="0">
      <sharedItems containsSemiMixedTypes="0" containsString="0" containsNumber="1" minValue="58.5" maxValue="1198"/>
    </cacheField>
    <cacheField name="Sale_amt" numFmtId="0">
      <sharedItems containsSemiMixedTypes="0" containsString="0" containsNumber="1" minValue="250" maxValue="113810"/>
    </cacheField>
    <cacheField name="Payment Type" numFmtId="0">
      <sharedItems/>
    </cacheField>
    <cacheField name="Total sales" numFmtId="0" formula="Item*Unit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d v="2018-01-06T00:00:00"/>
    <s v="East"/>
    <x v="0"/>
    <s v="Alexander"/>
    <s v="Television"/>
    <n v="95"/>
    <n v="1198"/>
    <n v="113810"/>
    <s v="UPI"/>
  </r>
  <r>
    <d v="2018-02-09T00:00:00"/>
    <s v="Central"/>
    <x v="1"/>
    <s v="Luis"/>
    <s v="Television"/>
    <n v="36"/>
    <n v="1198"/>
    <n v="43128"/>
    <s v="DEBIT CARD"/>
  </r>
  <r>
    <d v="2018-02-26T00:00:00"/>
    <s v="Central"/>
    <x v="2"/>
    <s v="David"/>
    <s v="Cell Phone"/>
    <n v="27"/>
    <n v="225"/>
    <n v="6075"/>
    <s v="NET BANKING"/>
  </r>
  <r>
    <d v="2018-03-15T00:00:00"/>
    <s v="West"/>
    <x v="2"/>
    <s v="Stephen"/>
    <s v="Television"/>
    <n v="56"/>
    <n v="1198"/>
    <n v="67088"/>
    <s v="UPI"/>
  </r>
  <r>
    <d v="2018-04-18T00:00:00"/>
    <s v="Central"/>
    <x v="0"/>
    <s v="Steven"/>
    <s v="Television"/>
    <n v="75"/>
    <n v="1198"/>
    <n v="89850"/>
    <s v="DEBIT CARD"/>
  </r>
  <r>
    <d v="2018-05-05T00:00:00"/>
    <s v="Central"/>
    <x v="1"/>
    <s v="Luis"/>
    <s v="Television"/>
    <n v="90"/>
    <n v="1198"/>
    <n v="107820"/>
    <s v="UPI"/>
  </r>
  <r>
    <d v="2018-09-01T00:00:00"/>
    <s v="Central"/>
    <x v="3"/>
    <s v="John"/>
    <s v="Desk"/>
    <n v="2"/>
    <n v="125"/>
    <n v="250"/>
    <s v="NET BANKING"/>
  </r>
  <r>
    <d v="2019-08-24T00:00:00"/>
    <s v="West"/>
    <x v="2"/>
    <s v="Stephen"/>
    <s v="Desk"/>
    <n v="3"/>
    <n v="125"/>
    <n v="375"/>
    <s v="CASH"/>
  </r>
  <r>
    <d v="2018-01-23T00:00:00"/>
    <s v="Central"/>
    <x v="1"/>
    <s v="Shelli"/>
    <s v="Home Theater"/>
    <n v="50"/>
    <n v="500"/>
    <n v="25000"/>
    <s v="CASH"/>
  </r>
  <r>
    <d v="2018-10-05T00:00:00"/>
    <s v="Central"/>
    <x v="1"/>
    <s v="Sigal"/>
    <s v="Home Theater"/>
    <n v="28"/>
    <n v="500"/>
    <n v="14000"/>
    <s v="CASH"/>
  </r>
  <r>
    <d v="2019-05-31T00:00:00"/>
    <s v="Central"/>
    <x v="2"/>
    <s v="David"/>
    <s v="Home Theater"/>
    <n v="80"/>
    <n v="500"/>
    <n v="40000"/>
    <s v="CASH"/>
  </r>
  <r>
    <d v="2019-12-04T00:00:00"/>
    <s v="Central"/>
    <x v="1"/>
    <s v="Luis"/>
    <s v="Home Theater"/>
    <n v="94"/>
    <n v="500"/>
    <n v="47000"/>
    <s v="CASH"/>
  </r>
  <r>
    <d v="2018-05-22T00:00:00"/>
    <s v="West"/>
    <x v="3"/>
    <s v="Michael"/>
    <s v="Television"/>
    <n v="32"/>
    <n v="1198"/>
    <n v="38336"/>
    <s v="CASH"/>
  </r>
  <r>
    <d v="2018-06-25T00:00:00"/>
    <s v="Central"/>
    <x v="1"/>
    <s v="Sigal"/>
    <s v="Television"/>
    <n v="90"/>
    <n v="1198"/>
    <n v="107820"/>
    <s v="CASH"/>
  </r>
  <r>
    <d v="2018-08-15T00:00:00"/>
    <s v="East"/>
    <x v="0"/>
    <s v="Alexander"/>
    <s v="Television"/>
    <n v="35"/>
    <n v="1198"/>
    <n v="41930"/>
    <s v="DEBIT CARD"/>
  </r>
  <r>
    <d v="2018-09-18T00:00:00"/>
    <s v="East"/>
    <x v="0"/>
    <s v="Alexander"/>
    <s v="Video Games"/>
    <n v="16"/>
    <n v="58.5"/>
    <n v="936"/>
    <s v="UPI"/>
  </r>
  <r>
    <d v="2018-10-22T00:00:00"/>
    <s v="East"/>
    <x v="0"/>
    <s v="Alexander"/>
    <s v="Cell Phone"/>
    <n v="64"/>
    <n v="225"/>
    <n v="14400"/>
    <s v="NET BANKING"/>
  </r>
  <r>
    <d v="2018-11-08T00:00:00"/>
    <s v="East"/>
    <x v="3"/>
    <s v="Karen"/>
    <s v="Cell Phone"/>
    <n v="15"/>
    <n v="225"/>
    <n v="3375"/>
    <s v="DEBIT CARD"/>
  </r>
  <r>
    <d v="2018-04-01T00:00:00"/>
    <s v="East"/>
    <x v="0"/>
    <s v="Alexander"/>
    <s v="Home Theater"/>
    <n v="60"/>
    <n v="500"/>
    <n v="30000"/>
    <s v="CASH"/>
  </r>
  <r>
    <d v="2019-02-18T00:00:00"/>
    <s v="East"/>
    <x v="0"/>
    <s v="Alexander"/>
    <s v="Home Theater"/>
    <n v="4"/>
    <n v="500"/>
    <n v="2000"/>
    <s v="CASH"/>
  </r>
  <r>
    <d v="2018-07-12T00:00:00"/>
    <s v="East"/>
    <x v="0"/>
    <s v="Diana"/>
    <s v="Home Theater"/>
    <n v="29"/>
    <n v="500"/>
    <n v="14500"/>
    <s v="DEBIT CARD"/>
  </r>
  <r>
    <d v="2018-07-29T00:00:00"/>
    <s v="East"/>
    <x v="3"/>
    <s v="Karen"/>
    <s v="Home Theater"/>
    <n v="81"/>
    <n v="500"/>
    <n v="40500"/>
    <s v="NET BANKING"/>
  </r>
  <r>
    <d v="2018-06-08T00:00:00"/>
    <s v="East"/>
    <x v="0"/>
    <s v="Alexander"/>
    <s v="Home Theater"/>
    <n v="60"/>
    <n v="500"/>
    <n v="30000"/>
    <s v="UPI"/>
  </r>
  <r>
    <d v="2018-11-25T00:00:00"/>
    <s v="Central"/>
    <x v="1"/>
    <s v="Shelli"/>
    <s v="Video Games"/>
    <n v="96"/>
    <n v="58.5"/>
    <n v="5616"/>
    <s v="NET BANKING"/>
  </r>
  <r>
    <d v="2018-12-12T00:00:00"/>
    <s v="Central"/>
    <x v="3"/>
    <s v="John"/>
    <s v="Television"/>
    <n v="67"/>
    <n v="1198"/>
    <n v="80266"/>
    <s v="DEBIT CARD"/>
  </r>
  <r>
    <d v="2018-12-29T00:00:00"/>
    <s v="East"/>
    <x v="3"/>
    <s v="Karen"/>
    <s v="Video Games"/>
    <n v="74"/>
    <n v="58.5"/>
    <n v="4329"/>
    <s v="DEBIT CARD"/>
  </r>
  <r>
    <d v="2019-01-15T00:00:00"/>
    <s v="Central"/>
    <x v="2"/>
    <s v="David"/>
    <s v="Home Theater"/>
    <n v="46"/>
    <n v="500"/>
    <n v="23000"/>
    <s v="NET BANKING"/>
  </r>
  <r>
    <d v="2019-02-01T00:00:00"/>
    <s v="Central"/>
    <x v="3"/>
    <s v="John"/>
    <s v="Home Theater"/>
    <n v="87"/>
    <n v="500"/>
    <n v="43500"/>
    <s v="UPI"/>
  </r>
  <r>
    <d v="2019-03-07T00:00:00"/>
    <s v="West"/>
    <x v="2"/>
    <s v="Stephen"/>
    <s v="Home Theater"/>
    <n v="7"/>
    <n v="500"/>
    <n v="3500"/>
    <s v="DEBIT CARD"/>
  </r>
  <r>
    <d v="2019-03-24T00:00:00"/>
    <s v="Central"/>
    <x v="1"/>
    <s v="Luis"/>
    <s v="Video Games"/>
    <n v="50"/>
    <n v="58.5"/>
    <n v="2925"/>
    <s v="NET BANKING"/>
  </r>
  <r>
    <d v="2019-04-10T00:00:00"/>
    <s v="Central"/>
    <x v="0"/>
    <s v="Steven"/>
    <s v="Television"/>
    <n v="66"/>
    <n v="1198"/>
    <n v="79068"/>
    <s v="DEBIT CARD"/>
  </r>
  <r>
    <d v="2019-04-27T00:00:00"/>
    <s v="East"/>
    <x v="0"/>
    <s v="Diana"/>
    <s v="Cell Phone"/>
    <n v="96"/>
    <n v="225"/>
    <n v="21600"/>
    <s v="CASH"/>
  </r>
  <r>
    <d v="2019-05-14T00:00:00"/>
    <s v="Central"/>
    <x v="2"/>
    <s v="David"/>
    <s v="Television"/>
    <n v="53"/>
    <n v="1198"/>
    <n v="63494"/>
    <s v="UPI"/>
  </r>
  <r>
    <d v="2019-06-17T00:00:00"/>
    <s v="Central"/>
    <x v="1"/>
    <s v="Shelli"/>
    <s v="Desk"/>
    <n v="5"/>
    <n v="125"/>
    <n v="625"/>
    <s v="DEBIT CARD"/>
  </r>
  <r>
    <d v="2019-07-04T00:00:00"/>
    <s v="East"/>
    <x v="0"/>
    <s v="Alexander"/>
    <s v="Video Games"/>
    <n v="62"/>
    <n v="58.5"/>
    <n v="3627"/>
    <s v="CASH"/>
  </r>
  <r>
    <d v="2019-07-21T00:00:00"/>
    <s v="Central"/>
    <x v="1"/>
    <s v="Sigal"/>
    <s v="Video Games"/>
    <n v="55"/>
    <n v="58.5"/>
    <n v="3217.5"/>
    <s v="DEBIT CARD"/>
  </r>
  <r>
    <d v="2019-08-07T00:00:00"/>
    <s v="Central"/>
    <x v="1"/>
    <s v="Shelli"/>
    <s v="Video Games"/>
    <n v="42"/>
    <n v="58.5"/>
    <n v="2457"/>
    <s v="NET BANKING"/>
  </r>
  <r>
    <d v="2019-09-10T00:00:00"/>
    <s v="Central"/>
    <x v="2"/>
    <s v="David"/>
    <s v="Television"/>
    <n v="7"/>
    <n v="1198"/>
    <n v="8386"/>
    <s v="DEBIT CARD"/>
  </r>
  <r>
    <d v="2019-09-27T00:00:00"/>
    <s v="West"/>
    <x v="2"/>
    <s v="Stephen"/>
    <s v="Cell Phone"/>
    <n v="76"/>
    <n v="225"/>
    <n v="17100"/>
    <s v="NET BANKING"/>
  </r>
  <r>
    <d v="2019-10-14T00:00:00"/>
    <s v="West"/>
    <x v="3"/>
    <s v="Michael"/>
    <s v="Home Theater"/>
    <n v="57"/>
    <n v="500"/>
    <n v="28500"/>
    <s v="CASH"/>
  </r>
  <r>
    <d v="2019-10-31T00:00:00"/>
    <s v="Central"/>
    <x v="0"/>
    <s v="Steven"/>
    <s v="Television"/>
    <n v="14"/>
    <n v="1198"/>
    <n v="16772"/>
    <s v="DEBIT CARD"/>
  </r>
  <r>
    <d v="2019-11-17T00:00:00"/>
    <s v="Central"/>
    <x v="1"/>
    <s v="Luis"/>
    <s v="Home Theater"/>
    <n v="11"/>
    <n v="500"/>
    <n v="5500"/>
    <s v="DEBIT CARD"/>
  </r>
  <r>
    <d v="2019-12-21T00:00:00"/>
    <s v="Central"/>
    <x v="0"/>
    <s v="Steven"/>
    <s v="Home Theater"/>
    <n v="28"/>
    <n v="500"/>
    <n v="14000"/>
    <s v="DEBIT C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CC0A2-CB94-463D-B4DC-6F33A7353C3C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17:I22" firstHeaderRow="0" firstDataRow="1" firstDataCol="1"/>
  <pivotFields count="10">
    <pivotField numFmtId="14"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amt" fld="7" baseField="0" baseItem="0"/>
    <dataField name="Max of Units" fld="5" subtotal="max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AC233B-D4D6-4316-A70E-B7424E7F4DC4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2:C17" firstHeaderRow="0" firstDataRow="1" firstDataCol="1"/>
  <pivotFields count="10">
    <pivotField numFmtId="14"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amt" fld="7" baseField="0" baseItem="0"/>
    <dataField name="Max of Units" fld="5" subtotal="max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3C8B30-1FA5-4AAE-A9E0-6F3A0FF62570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8" firstHeaderRow="0" firstDataRow="1" firstDataCol="1"/>
  <pivotFields count="10">
    <pivotField numFmtId="14"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amt" fld="7" baseField="0" baseItem="0"/>
    <dataField name="Max of Units" fld="5" subtotal="max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8105FE-384B-4BFA-855B-5023E3F4C261}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13:F18" firstHeaderRow="0" firstDataRow="1" firstDataCol="1"/>
  <pivotFields count="10">
    <pivotField numFmtId="14"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amt" fld="7" baseField="0" baseItem="0"/>
    <dataField name="Max of Units" fld="5" subtotal="max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703331-90ED-4F0C-9CA9-C15CEFE6327A}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9:I14" firstHeaderRow="0" firstDataRow="1" firstDataCol="1"/>
  <pivotFields count="10">
    <pivotField numFmtId="14"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amt" fld="7" baseField="0" baseItem="0"/>
    <dataField name="Max of Units" fld="5" subtotal="max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5F1610-728F-4AF1-B4EA-F8821EC7EFB4}" name="Table3" displayName="Table3" ref="A1:I44" totalsRowShown="0" headerRowDxfId="11" dataDxfId="10" tableBorderDxfId="9" headerRowCellStyle="Normal 2">
  <autoFilter ref="A1:I44" xr:uid="{CF8B11D6-8494-479D-A165-9DC6F143D77E}"/>
  <sortState ref="A2:I44">
    <sortCondition ref="A2"/>
  </sortState>
  <tableColumns count="9">
    <tableColumn id="1" xr3:uid="{3754B459-EFA0-49FE-851A-61C50716CC25}" name="OrderDate" dataDxfId="8"/>
    <tableColumn id="2" xr3:uid="{6D6A0230-10EC-4FC2-8D39-D12387BD856D}" name="Region" dataDxfId="7"/>
    <tableColumn id="3" xr3:uid="{F8C6AD3E-0955-4DCB-923C-7F3A710D19B9}" name="Manager" dataDxfId="6"/>
    <tableColumn id="4" xr3:uid="{B5074F15-7D6B-4657-9DBE-03827EC0440D}" name="SalesMan" dataDxfId="5"/>
    <tableColumn id="5" xr3:uid="{A78ED080-B9C9-4125-AAAC-8B90C74F23B2}" name="Item" dataDxfId="4"/>
    <tableColumn id="6" xr3:uid="{0A14E989-36B8-41B1-B6AF-645B7DE31340}" name="Units" dataDxfId="3"/>
    <tableColumn id="7" xr3:uid="{29355482-7D56-439A-9B33-87C67FAFCE6A}" name="Unit_price" dataDxfId="2"/>
    <tableColumn id="8" xr3:uid="{69FA73A1-FF14-470D-93B9-E1E83D4222DD}" name="Sale_amt" dataDxfId="1"/>
    <tableColumn id="9" xr3:uid="{9A3195EC-20A6-4C8F-B22C-56840AAF5A58}" name="Payment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"/>
  <sheetViews>
    <sheetView zoomScale="115" zoomScaleNormal="115" workbookViewId="0">
      <selection activeCell="I12" sqref="I12"/>
    </sheetView>
  </sheetViews>
  <sheetFormatPr defaultRowHeight="14.4" x14ac:dyDescent="0.3"/>
  <cols>
    <col min="2" max="2" width="15.33203125" customWidth="1"/>
    <col min="9" max="9" width="12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4">
        <f ca="1">TODAY()</f>
        <v>46161</v>
      </c>
      <c r="B2" s="5">
        <f ca="1">NOW()</f>
        <v>46161.614892708334</v>
      </c>
      <c r="C2">
        <f ca="1">YEAR(B2)</f>
        <v>2026</v>
      </c>
      <c r="D2">
        <f ca="1">MONTH(B2)</f>
        <v>5</v>
      </c>
      <c r="E2">
        <f ca="1">DAY(B2)</f>
        <v>19</v>
      </c>
      <c r="F2">
        <f ca="1">HOUR(B2)</f>
        <v>14</v>
      </c>
      <c r="G2">
        <f ca="1">MINUTE(B2)</f>
        <v>45</v>
      </c>
      <c r="H2">
        <f ca="1">SECOND(B2)</f>
        <v>27</v>
      </c>
      <c r="I2" s="5">
        <f ca="1">EDATE(A2,4)</f>
        <v>46284</v>
      </c>
    </row>
    <row r="4" spans="1:11" x14ac:dyDescent="0.3">
      <c r="I4" s="4">
        <f ca="1">EDATE(A2,3*12)</f>
        <v>47257</v>
      </c>
    </row>
    <row r="5" spans="1:11" x14ac:dyDescent="0.3">
      <c r="B5" s="4">
        <f>DATE(2022,4,23)</f>
        <v>44674</v>
      </c>
    </row>
    <row r="7" spans="1:11" x14ac:dyDescent="0.3">
      <c r="B7" s="4">
        <v>45282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2A5D-0CF6-49CB-BDEA-AE5CD28B1253}">
  <dimension ref="A3:I22"/>
  <sheetViews>
    <sheetView workbookViewId="0">
      <selection activeCell="J23" sqref="J23"/>
    </sheetView>
  </sheetViews>
  <sheetFormatPr defaultRowHeight="14.4" x14ac:dyDescent="0.3"/>
  <cols>
    <col min="1" max="1" width="12.5546875" bestFit="1" customWidth="1"/>
    <col min="2" max="2" width="15.33203125" bestFit="1" customWidth="1"/>
    <col min="3" max="3" width="11.6640625" bestFit="1" customWidth="1"/>
    <col min="4" max="4" width="11.77734375" bestFit="1" customWidth="1"/>
  </cols>
  <sheetData>
    <row r="3" spans="1:9" x14ac:dyDescent="0.3">
      <c r="A3" s="17" t="s">
        <v>47</v>
      </c>
      <c r="B3" t="s">
        <v>49</v>
      </c>
      <c r="C3" t="s">
        <v>50</v>
      </c>
    </row>
    <row r="4" spans="1:9" x14ac:dyDescent="0.3">
      <c r="A4" s="18" t="s">
        <v>31</v>
      </c>
      <c r="B4" s="19">
        <v>239056</v>
      </c>
      <c r="C4" s="20">
        <v>0.90625</v>
      </c>
    </row>
    <row r="5" spans="1:9" x14ac:dyDescent="0.3">
      <c r="A5" s="18" t="s">
        <v>35</v>
      </c>
      <c r="B5" s="19">
        <v>365108.5</v>
      </c>
      <c r="C5" s="20">
        <v>1</v>
      </c>
    </row>
    <row r="6" spans="1:9" x14ac:dyDescent="0.3">
      <c r="A6" s="18" t="s">
        <v>28</v>
      </c>
      <c r="B6" s="19">
        <v>472493</v>
      </c>
      <c r="C6" s="20">
        <v>1</v>
      </c>
    </row>
    <row r="7" spans="1:9" x14ac:dyDescent="0.3">
      <c r="A7" s="18" t="s">
        <v>21</v>
      </c>
      <c r="B7" s="19">
        <v>229018</v>
      </c>
      <c r="C7" s="20">
        <v>0.83333333333333337</v>
      </c>
    </row>
    <row r="8" spans="1:9" x14ac:dyDescent="0.3">
      <c r="A8" s="18" t="s">
        <v>48</v>
      </c>
      <c r="B8" s="19">
        <v>1305675.5</v>
      </c>
      <c r="C8" s="20">
        <v>1</v>
      </c>
    </row>
    <row r="9" spans="1:9" x14ac:dyDescent="0.3">
      <c r="G9" s="17" t="s">
        <v>47</v>
      </c>
      <c r="H9" s="17" t="s">
        <v>49</v>
      </c>
      <c r="I9" s="17" t="s">
        <v>50</v>
      </c>
    </row>
    <row r="10" spans="1:9" x14ac:dyDescent="0.3">
      <c r="G10" s="18" t="s">
        <v>31</v>
      </c>
      <c r="H10" s="19">
        <v>239056</v>
      </c>
      <c r="I10" s="20">
        <v>0.90625</v>
      </c>
    </row>
    <row r="11" spans="1:9" x14ac:dyDescent="0.3">
      <c r="G11" s="18" t="s">
        <v>35</v>
      </c>
      <c r="H11" s="19">
        <v>365108.5</v>
      </c>
      <c r="I11" s="20">
        <v>1</v>
      </c>
    </row>
    <row r="12" spans="1:9" x14ac:dyDescent="0.3">
      <c r="A12" s="17" t="s">
        <v>47</v>
      </c>
      <c r="B12" s="17" t="s">
        <v>49</v>
      </c>
      <c r="C12" s="17" t="s">
        <v>50</v>
      </c>
      <c r="D12" s="17"/>
      <c r="G12" s="18" t="s">
        <v>28</v>
      </c>
      <c r="H12" s="19">
        <v>472493</v>
      </c>
      <c r="I12" s="20">
        <v>1</v>
      </c>
    </row>
    <row r="13" spans="1:9" x14ac:dyDescent="0.3">
      <c r="A13" s="18" t="s">
        <v>31</v>
      </c>
      <c r="B13" s="19">
        <v>239056</v>
      </c>
      <c r="C13" s="20">
        <v>0.90625</v>
      </c>
      <c r="D13" s="17" t="s">
        <v>47</v>
      </c>
      <c r="E13" s="17" t="s">
        <v>49</v>
      </c>
      <c r="F13" s="17" t="s">
        <v>50</v>
      </c>
      <c r="G13" s="21" t="s">
        <v>21</v>
      </c>
      <c r="H13" s="22">
        <v>229018</v>
      </c>
      <c r="I13" s="23">
        <v>0.83333333333333337</v>
      </c>
    </row>
    <row r="14" spans="1:9" x14ac:dyDescent="0.3">
      <c r="A14" s="18" t="s">
        <v>35</v>
      </c>
      <c r="B14" s="19">
        <v>365108.5</v>
      </c>
      <c r="C14" s="20">
        <v>1</v>
      </c>
      <c r="D14" s="18" t="s">
        <v>31</v>
      </c>
      <c r="E14" s="19">
        <v>239056</v>
      </c>
      <c r="F14" s="20">
        <v>0.90625</v>
      </c>
      <c r="G14" s="18" t="s">
        <v>48</v>
      </c>
      <c r="H14" s="19">
        <v>1305675.5</v>
      </c>
      <c r="I14" s="20">
        <v>1</v>
      </c>
    </row>
    <row r="15" spans="1:9" x14ac:dyDescent="0.3">
      <c r="A15" s="18" t="s">
        <v>28</v>
      </c>
      <c r="B15" s="19">
        <v>472493</v>
      </c>
      <c r="C15" s="20">
        <v>1</v>
      </c>
      <c r="D15" s="18" t="s">
        <v>35</v>
      </c>
      <c r="E15" s="19">
        <v>365108.5</v>
      </c>
      <c r="F15" s="20">
        <v>1</v>
      </c>
    </row>
    <row r="16" spans="1:9" x14ac:dyDescent="0.3">
      <c r="A16" s="18" t="s">
        <v>21</v>
      </c>
      <c r="B16" s="19">
        <v>229018</v>
      </c>
      <c r="C16" s="20">
        <v>0.83333333333333337</v>
      </c>
      <c r="D16" s="18" t="s">
        <v>28</v>
      </c>
      <c r="E16" s="19">
        <v>472493</v>
      </c>
      <c r="F16" s="20">
        <v>1</v>
      </c>
    </row>
    <row r="17" spans="1:9" x14ac:dyDescent="0.3">
      <c r="A17" s="18" t="s">
        <v>48</v>
      </c>
      <c r="B17" s="19">
        <v>1305675.5</v>
      </c>
      <c r="C17" s="20">
        <v>1</v>
      </c>
      <c r="D17" s="18" t="s">
        <v>21</v>
      </c>
      <c r="E17" s="19">
        <v>229018</v>
      </c>
      <c r="F17" s="20">
        <v>0.83333333333333337</v>
      </c>
      <c r="G17" s="17" t="s">
        <v>47</v>
      </c>
      <c r="H17" s="17" t="s">
        <v>49</v>
      </c>
      <c r="I17" s="17" t="s">
        <v>50</v>
      </c>
    </row>
    <row r="18" spans="1:9" x14ac:dyDescent="0.3">
      <c r="D18" s="18" t="s">
        <v>48</v>
      </c>
      <c r="E18" s="19">
        <v>1305675.5</v>
      </c>
      <c r="F18" s="20">
        <v>1</v>
      </c>
      <c r="G18" s="18" t="s">
        <v>31</v>
      </c>
      <c r="H18" s="19">
        <v>239056</v>
      </c>
      <c r="I18" s="20">
        <v>0.90625</v>
      </c>
    </row>
    <row r="19" spans="1:9" x14ac:dyDescent="0.3">
      <c r="G19" s="18" t="s">
        <v>35</v>
      </c>
      <c r="H19" s="19">
        <v>365108.5</v>
      </c>
      <c r="I19" s="20">
        <v>1</v>
      </c>
    </row>
    <row r="20" spans="1:9" x14ac:dyDescent="0.3">
      <c r="G20" s="18" t="s">
        <v>28</v>
      </c>
      <c r="H20" s="19">
        <v>472493</v>
      </c>
      <c r="I20" s="20">
        <v>1</v>
      </c>
    </row>
    <row r="21" spans="1:9" x14ac:dyDescent="0.3">
      <c r="G21" s="18" t="s">
        <v>21</v>
      </c>
      <c r="H21" s="19">
        <v>229018</v>
      </c>
      <c r="I21" s="20">
        <v>0.83333333333333337</v>
      </c>
    </row>
    <row r="22" spans="1:9" x14ac:dyDescent="0.3">
      <c r="G22" s="18" t="s">
        <v>48</v>
      </c>
      <c r="H22" s="19">
        <v>1305675.5</v>
      </c>
      <c r="I22" s="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A64F-D990-491A-8769-AE954C758407}">
  <sheetPr codeName="Sheet2"/>
  <dimension ref="A1:R44"/>
  <sheetViews>
    <sheetView zoomScale="85" zoomScaleNormal="85" workbookViewId="0">
      <selection activeCell="D1" sqref="D1:I28"/>
    </sheetView>
  </sheetViews>
  <sheetFormatPr defaultRowHeight="14.4" x14ac:dyDescent="0.3"/>
  <cols>
    <col min="1" max="1" width="12.33203125" customWidth="1"/>
    <col min="2" max="2" width="9" customWidth="1"/>
    <col min="3" max="3" width="10.88671875" customWidth="1"/>
    <col min="4" max="4" width="11.33203125" customWidth="1"/>
    <col min="5" max="5" width="12.6640625" bestFit="1" customWidth="1"/>
    <col min="6" max="6" width="7.44140625" customWidth="1"/>
    <col min="7" max="7" width="13.21875" customWidth="1"/>
    <col min="8" max="8" width="11.109375" bestFit="1" customWidth="1"/>
    <col min="9" max="9" width="15.6640625" customWidth="1"/>
    <col min="10" max="10" width="7" bestFit="1" customWidth="1"/>
    <col min="11" max="11" width="7.77734375" customWidth="1"/>
    <col min="12" max="12" width="8.5546875" customWidth="1"/>
    <col min="13" max="13" width="8" customWidth="1"/>
    <col min="14" max="14" width="9.109375" customWidth="1"/>
    <col min="15" max="15" width="9.88671875" customWidth="1"/>
    <col min="18" max="18" width="14.33203125" customWidth="1"/>
  </cols>
  <sheetData>
    <row r="1" spans="1:18" x14ac:dyDescent="0.3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7" t="s">
        <v>17</v>
      </c>
      <c r="H1" s="6" t="s">
        <v>18</v>
      </c>
      <c r="I1" s="6" t="s">
        <v>19</v>
      </c>
    </row>
    <row r="2" spans="1:18" x14ac:dyDescent="0.3">
      <c r="A2" s="14">
        <v>43106</v>
      </c>
      <c r="B2" s="3" t="s">
        <v>27</v>
      </c>
      <c r="C2" s="3" t="s">
        <v>28</v>
      </c>
      <c r="D2" s="3" t="s">
        <v>34</v>
      </c>
      <c r="E2" s="3" t="s">
        <v>45</v>
      </c>
      <c r="F2" s="3">
        <v>95</v>
      </c>
      <c r="G2" s="3">
        <v>1198</v>
      </c>
      <c r="H2" s="3">
        <v>113810</v>
      </c>
      <c r="I2" s="3" t="s">
        <v>43</v>
      </c>
    </row>
    <row r="3" spans="1:18" x14ac:dyDescent="0.3">
      <c r="A3" s="13">
        <v>43140</v>
      </c>
      <c r="B3" s="2" t="s">
        <v>20</v>
      </c>
      <c r="C3" s="2" t="s">
        <v>35</v>
      </c>
      <c r="D3" s="2" t="s">
        <v>41</v>
      </c>
      <c r="E3" s="2" t="s">
        <v>45</v>
      </c>
      <c r="F3" s="2">
        <v>36</v>
      </c>
      <c r="G3" s="2">
        <v>1198</v>
      </c>
      <c r="H3" s="2">
        <v>43128</v>
      </c>
      <c r="I3" s="2" t="s">
        <v>33</v>
      </c>
    </row>
    <row r="4" spans="1:18" x14ac:dyDescent="0.3">
      <c r="A4" s="13">
        <v>43157</v>
      </c>
      <c r="B4" s="2" t="s">
        <v>20</v>
      </c>
      <c r="C4" s="2" t="s">
        <v>21</v>
      </c>
      <c r="D4" s="2" t="s">
        <v>22</v>
      </c>
      <c r="E4" s="2" t="s">
        <v>23</v>
      </c>
      <c r="F4" s="2">
        <v>27</v>
      </c>
      <c r="G4" s="2">
        <v>225</v>
      </c>
      <c r="H4" s="2">
        <v>6075</v>
      </c>
      <c r="I4" s="2" t="s">
        <v>24</v>
      </c>
    </row>
    <row r="5" spans="1:18" x14ac:dyDescent="0.3">
      <c r="A5" s="14">
        <v>43174</v>
      </c>
      <c r="B5" s="3" t="s">
        <v>25</v>
      </c>
      <c r="C5" s="3" t="s">
        <v>21</v>
      </c>
      <c r="D5" s="3" t="s">
        <v>26</v>
      </c>
      <c r="E5" s="3" t="s">
        <v>45</v>
      </c>
      <c r="F5" s="3">
        <v>56</v>
      </c>
      <c r="G5" s="3">
        <v>1198</v>
      </c>
      <c r="H5" s="3">
        <v>67088</v>
      </c>
      <c r="I5" s="3" t="s">
        <v>43</v>
      </c>
    </row>
    <row r="6" spans="1:18" x14ac:dyDescent="0.3">
      <c r="A6" s="14">
        <v>43208</v>
      </c>
      <c r="B6" s="3" t="s">
        <v>20</v>
      </c>
      <c r="C6" s="3" t="s">
        <v>28</v>
      </c>
      <c r="D6" s="3" t="s">
        <v>42</v>
      </c>
      <c r="E6" s="3" t="s">
        <v>45</v>
      </c>
      <c r="F6" s="3">
        <v>75</v>
      </c>
      <c r="G6" s="3">
        <v>1198</v>
      </c>
      <c r="H6" s="3">
        <v>89850</v>
      </c>
      <c r="I6" s="3" t="s">
        <v>33</v>
      </c>
    </row>
    <row r="7" spans="1:18" x14ac:dyDescent="0.3">
      <c r="A7" s="13">
        <v>43225</v>
      </c>
      <c r="B7" s="2" t="s">
        <v>20</v>
      </c>
      <c r="C7" s="2" t="s">
        <v>35</v>
      </c>
      <c r="D7" s="2" t="s">
        <v>41</v>
      </c>
      <c r="E7" s="2" t="s">
        <v>45</v>
      </c>
      <c r="F7" s="2">
        <v>90</v>
      </c>
      <c r="G7" s="2">
        <v>1198</v>
      </c>
      <c r="H7" s="2">
        <v>107820</v>
      </c>
      <c r="I7" s="2" t="s">
        <v>43</v>
      </c>
    </row>
    <row r="8" spans="1:18" hidden="1" x14ac:dyDescent="0.3">
      <c r="A8" s="13">
        <v>43344</v>
      </c>
      <c r="B8" s="2" t="s">
        <v>20</v>
      </c>
      <c r="C8" s="2" t="s">
        <v>31</v>
      </c>
      <c r="D8" s="2" t="s">
        <v>38</v>
      </c>
      <c r="E8" s="2" t="s">
        <v>37</v>
      </c>
      <c r="F8" s="2">
        <v>2</v>
      </c>
      <c r="G8" s="2">
        <v>125</v>
      </c>
      <c r="H8" s="2">
        <v>250</v>
      </c>
      <c r="I8" s="2" t="s">
        <v>24</v>
      </c>
    </row>
    <row r="9" spans="1:18" hidden="1" x14ac:dyDescent="0.3">
      <c r="A9" s="14">
        <v>43701</v>
      </c>
      <c r="B9" s="3" t="s">
        <v>25</v>
      </c>
      <c r="C9" s="3" t="s">
        <v>21</v>
      </c>
      <c r="D9" s="3" t="s">
        <v>26</v>
      </c>
      <c r="E9" s="3" t="s">
        <v>37</v>
      </c>
      <c r="F9" s="3">
        <v>3</v>
      </c>
      <c r="G9" s="3">
        <v>125</v>
      </c>
      <c r="H9" s="3">
        <v>375</v>
      </c>
      <c r="I9" s="3" t="s">
        <v>30</v>
      </c>
    </row>
    <row r="10" spans="1:18" hidden="1" x14ac:dyDescent="0.3">
      <c r="A10" s="13">
        <v>43123</v>
      </c>
      <c r="B10" s="2" t="s">
        <v>20</v>
      </c>
      <c r="C10" s="2" t="s">
        <v>35</v>
      </c>
      <c r="D10" s="2" t="s">
        <v>36</v>
      </c>
      <c r="E10" s="2" t="s">
        <v>39</v>
      </c>
      <c r="F10" s="2">
        <v>50</v>
      </c>
      <c r="G10" s="2">
        <v>500</v>
      </c>
      <c r="H10" s="2">
        <v>25000</v>
      </c>
      <c r="I10" s="2" t="s">
        <v>30</v>
      </c>
      <c r="R10">
        <f>SUMIF('Some Advance Maths'!$B$2:$B$44,"Central",'Some Advance Maths'!$H$2:$H$44)</f>
        <v>829769.5</v>
      </c>
    </row>
    <row r="11" spans="1:18" hidden="1" x14ac:dyDescent="0.3">
      <c r="A11" s="14">
        <v>43378</v>
      </c>
      <c r="B11" s="3" t="s">
        <v>20</v>
      </c>
      <c r="C11" s="3" t="s">
        <v>35</v>
      </c>
      <c r="D11" s="3" t="s">
        <v>40</v>
      </c>
      <c r="E11" s="3" t="s">
        <v>39</v>
      </c>
      <c r="F11" s="3">
        <v>28</v>
      </c>
      <c r="G11" s="3">
        <v>500</v>
      </c>
      <c r="H11" s="3">
        <v>14000</v>
      </c>
      <c r="I11" s="3" t="s">
        <v>30</v>
      </c>
    </row>
    <row r="12" spans="1:18" hidden="1" x14ac:dyDescent="0.3">
      <c r="A12" s="13">
        <v>43616</v>
      </c>
      <c r="B12" s="2" t="s">
        <v>20</v>
      </c>
      <c r="C12" s="2" t="s">
        <v>21</v>
      </c>
      <c r="D12" s="2" t="s">
        <v>22</v>
      </c>
      <c r="E12" s="2" t="s">
        <v>39</v>
      </c>
      <c r="F12" s="2">
        <v>80</v>
      </c>
      <c r="G12" s="2">
        <v>500</v>
      </c>
      <c r="H12" s="2">
        <v>40000</v>
      </c>
      <c r="I12" s="2" t="s">
        <v>30</v>
      </c>
      <c r="R12">
        <f>SUMIFS('Some Advance Maths'!$H$2:$H$44,'Some Advance Maths'!$B$2:$B$44,"Central",'Some Advance Maths'!$I$2:$I$44,"CASH")</f>
        <v>233820</v>
      </c>
    </row>
    <row r="13" spans="1:18" hidden="1" x14ac:dyDescent="0.3">
      <c r="A13" s="14">
        <v>43803</v>
      </c>
      <c r="B13" s="3" t="s">
        <v>20</v>
      </c>
      <c r="C13" s="3" t="s">
        <v>35</v>
      </c>
      <c r="D13" s="3" t="s">
        <v>41</v>
      </c>
      <c r="E13" s="3" t="s">
        <v>39</v>
      </c>
      <c r="F13" s="3">
        <v>94</v>
      </c>
      <c r="G13" s="3">
        <v>500</v>
      </c>
      <c r="H13" s="3">
        <v>47000</v>
      </c>
      <c r="I13" s="3" t="s">
        <v>30</v>
      </c>
    </row>
    <row r="14" spans="1:18" x14ac:dyDescent="0.3">
      <c r="A14" s="13">
        <v>43242</v>
      </c>
      <c r="B14" s="2" t="s">
        <v>25</v>
      </c>
      <c r="C14" s="2" t="s">
        <v>31</v>
      </c>
      <c r="D14" s="2" t="s">
        <v>44</v>
      </c>
      <c r="E14" s="2" t="s">
        <v>45</v>
      </c>
      <c r="F14" s="2">
        <v>32</v>
      </c>
      <c r="G14" s="2">
        <v>1198</v>
      </c>
      <c r="H14" s="2">
        <v>38336</v>
      </c>
      <c r="I14" s="2" t="s">
        <v>30</v>
      </c>
    </row>
    <row r="15" spans="1:18" collapsed="1" x14ac:dyDescent="0.3">
      <c r="A15" s="14">
        <v>43276</v>
      </c>
      <c r="B15" s="3" t="s">
        <v>20</v>
      </c>
      <c r="C15" s="3" t="s">
        <v>35</v>
      </c>
      <c r="D15" s="3" t="s">
        <v>40</v>
      </c>
      <c r="E15" s="3" t="s">
        <v>45</v>
      </c>
      <c r="F15" s="3">
        <v>90</v>
      </c>
      <c r="G15" s="3">
        <v>1198</v>
      </c>
      <c r="H15" s="3">
        <v>107820</v>
      </c>
      <c r="I15" s="3" t="s">
        <v>30</v>
      </c>
    </row>
    <row r="16" spans="1:18" x14ac:dyDescent="0.3">
      <c r="A16" s="13">
        <v>43327</v>
      </c>
      <c r="B16" s="2" t="s">
        <v>27</v>
      </c>
      <c r="C16" s="2" t="s">
        <v>28</v>
      </c>
      <c r="D16" s="2" t="s">
        <v>34</v>
      </c>
      <c r="E16" s="2" t="s">
        <v>45</v>
      </c>
      <c r="F16" s="2">
        <v>35</v>
      </c>
      <c r="G16" s="2">
        <v>1198</v>
      </c>
      <c r="H16" s="2">
        <v>41930</v>
      </c>
      <c r="I16" s="2" t="s">
        <v>33</v>
      </c>
    </row>
    <row r="17" spans="1:9" x14ac:dyDescent="0.3">
      <c r="A17" s="13">
        <v>43361</v>
      </c>
      <c r="B17" s="2" t="s">
        <v>27</v>
      </c>
      <c r="C17" s="2" t="s">
        <v>28</v>
      </c>
      <c r="D17" s="2" t="s">
        <v>34</v>
      </c>
      <c r="E17" s="2" t="s">
        <v>46</v>
      </c>
      <c r="F17" s="2">
        <v>16</v>
      </c>
      <c r="G17" s="2">
        <v>58.5</v>
      </c>
      <c r="H17" s="2">
        <v>936</v>
      </c>
      <c r="I17" s="2" t="s">
        <v>43</v>
      </c>
    </row>
    <row r="18" spans="1:9" x14ac:dyDescent="0.3">
      <c r="A18" s="13">
        <v>43395</v>
      </c>
      <c r="B18" s="2" t="s">
        <v>27</v>
      </c>
      <c r="C18" s="2" t="s">
        <v>28</v>
      </c>
      <c r="D18" s="2" t="s">
        <v>34</v>
      </c>
      <c r="E18" s="2" t="s">
        <v>23</v>
      </c>
      <c r="F18" s="2">
        <v>64</v>
      </c>
      <c r="G18" s="2">
        <v>225</v>
      </c>
      <c r="H18" s="2">
        <v>14400</v>
      </c>
      <c r="I18" s="2" t="s">
        <v>24</v>
      </c>
    </row>
    <row r="19" spans="1:9" x14ac:dyDescent="0.3">
      <c r="A19" s="14">
        <v>43412</v>
      </c>
      <c r="B19" s="3" t="s">
        <v>27</v>
      </c>
      <c r="C19" s="3" t="s">
        <v>31</v>
      </c>
      <c r="D19" s="3" t="s">
        <v>32</v>
      </c>
      <c r="E19" s="3" t="s">
        <v>23</v>
      </c>
      <c r="F19" s="3">
        <v>15</v>
      </c>
      <c r="G19" s="3">
        <v>225</v>
      </c>
      <c r="H19" s="3">
        <v>3375</v>
      </c>
      <c r="I19" s="3" t="s">
        <v>33</v>
      </c>
    </row>
    <row r="20" spans="1:9" hidden="1" x14ac:dyDescent="0.3">
      <c r="A20" s="13">
        <v>43191</v>
      </c>
      <c r="B20" s="2" t="s">
        <v>27</v>
      </c>
      <c r="C20" s="2" t="s">
        <v>28</v>
      </c>
      <c r="D20" s="2" t="s">
        <v>34</v>
      </c>
      <c r="E20" s="2" t="s">
        <v>39</v>
      </c>
      <c r="F20" s="2">
        <v>60</v>
      </c>
      <c r="G20" s="2">
        <v>500</v>
      </c>
      <c r="H20" s="2">
        <v>30000</v>
      </c>
      <c r="I20" s="2" t="s">
        <v>30</v>
      </c>
    </row>
    <row r="21" spans="1:9" hidden="1" x14ac:dyDescent="0.3">
      <c r="A21" s="14">
        <v>43514</v>
      </c>
      <c r="B21" s="3" t="s">
        <v>27</v>
      </c>
      <c r="C21" s="3" t="s">
        <v>28</v>
      </c>
      <c r="D21" s="3" t="s">
        <v>34</v>
      </c>
      <c r="E21" s="3" t="s">
        <v>39</v>
      </c>
      <c r="F21" s="3">
        <v>4</v>
      </c>
      <c r="G21" s="3">
        <v>500</v>
      </c>
      <c r="H21" s="3">
        <v>2000</v>
      </c>
      <c r="I21" s="3" t="s">
        <v>30</v>
      </c>
    </row>
    <row r="22" spans="1:9" hidden="1" x14ac:dyDescent="0.3">
      <c r="A22" s="13">
        <v>43293</v>
      </c>
      <c r="B22" s="2" t="s">
        <v>27</v>
      </c>
      <c r="C22" s="2" t="s">
        <v>28</v>
      </c>
      <c r="D22" s="2" t="s">
        <v>29</v>
      </c>
      <c r="E22" s="2" t="s">
        <v>39</v>
      </c>
      <c r="F22" s="2">
        <v>29</v>
      </c>
      <c r="G22" s="2">
        <v>500</v>
      </c>
      <c r="H22" s="2">
        <v>14500</v>
      </c>
      <c r="I22" s="2" t="s">
        <v>33</v>
      </c>
    </row>
    <row r="23" spans="1:9" hidden="1" x14ac:dyDescent="0.3">
      <c r="A23" s="14">
        <v>43310</v>
      </c>
      <c r="B23" s="3" t="s">
        <v>27</v>
      </c>
      <c r="C23" s="3" t="s">
        <v>31</v>
      </c>
      <c r="D23" s="3" t="s">
        <v>32</v>
      </c>
      <c r="E23" s="3" t="s">
        <v>39</v>
      </c>
      <c r="F23" s="3">
        <v>81</v>
      </c>
      <c r="G23" s="3">
        <v>500</v>
      </c>
      <c r="H23" s="3">
        <v>40500</v>
      </c>
      <c r="I23" s="3" t="s">
        <v>24</v>
      </c>
    </row>
    <row r="24" spans="1:9" hidden="1" x14ac:dyDescent="0.3">
      <c r="A24" s="13">
        <v>43259</v>
      </c>
      <c r="B24" s="2" t="s">
        <v>27</v>
      </c>
      <c r="C24" s="2" t="s">
        <v>28</v>
      </c>
      <c r="D24" s="2" t="s">
        <v>34</v>
      </c>
      <c r="E24" s="2" t="s">
        <v>39</v>
      </c>
      <c r="F24" s="2">
        <v>60</v>
      </c>
      <c r="G24" s="2">
        <v>500</v>
      </c>
      <c r="H24" s="2">
        <v>30000</v>
      </c>
      <c r="I24" s="2" t="s">
        <v>43</v>
      </c>
    </row>
    <row r="25" spans="1:9" collapsed="1" x14ac:dyDescent="0.3">
      <c r="A25" s="14">
        <v>43429</v>
      </c>
      <c r="B25" s="3" t="s">
        <v>20</v>
      </c>
      <c r="C25" s="3" t="s">
        <v>35</v>
      </c>
      <c r="D25" s="3" t="s">
        <v>36</v>
      </c>
      <c r="E25" s="3" t="s">
        <v>46</v>
      </c>
      <c r="F25" s="3">
        <v>96</v>
      </c>
      <c r="G25" s="3">
        <v>58.5</v>
      </c>
      <c r="H25" s="3">
        <v>5616</v>
      </c>
      <c r="I25" s="3" t="s">
        <v>24</v>
      </c>
    </row>
    <row r="26" spans="1:9" x14ac:dyDescent="0.3">
      <c r="A26" s="13">
        <v>43446</v>
      </c>
      <c r="B26" s="2" t="s">
        <v>20</v>
      </c>
      <c r="C26" s="2" t="s">
        <v>31</v>
      </c>
      <c r="D26" s="2" t="s">
        <v>38</v>
      </c>
      <c r="E26" s="2" t="s">
        <v>45</v>
      </c>
      <c r="F26" s="2">
        <v>67</v>
      </c>
      <c r="G26" s="2">
        <v>1198</v>
      </c>
      <c r="H26" s="2">
        <v>80266</v>
      </c>
      <c r="I26" s="2" t="s">
        <v>33</v>
      </c>
    </row>
    <row r="27" spans="1:9" x14ac:dyDescent="0.3">
      <c r="A27" s="14">
        <v>43463</v>
      </c>
      <c r="B27" s="3" t="s">
        <v>27</v>
      </c>
      <c r="C27" s="3" t="s">
        <v>31</v>
      </c>
      <c r="D27" s="3" t="s">
        <v>32</v>
      </c>
      <c r="E27" s="3" t="s">
        <v>46</v>
      </c>
      <c r="F27" s="3">
        <v>74</v>
      </c>
      <c r="G27" s="3">
        <v>58.5</v>
      </c>
      <c r="H27" s="3">
        <v>4329</v>
      </c>
      <c r="I27" s="3" t="s">
        <v>33</v>
      </c>
    </row>
    <row r="28" spans="1:9" x14ac:dyDescent="0.3">
      <c r="A28" s="13">
        <v>43480</v>
      </c>
      <c r="B28" s="2" t="s">
        <v>20</v>
      </c>
      <c r="C28" s="2" t="s">
        <v>21</v>
      </c>
      <c r="D28" s="2" t="s">
        <v>22</v>
      </c>
      <c r="E28" s="2" t="s">
        <v>39</v>
      </c>
      <c r="F28" s="2">
        <v>46</v>
      </c>
      <c r="G28" s="2">
        <v>500</v>
      </c>
      <c r="H28" s="2">
        <v>23000</v>
      </c>
      <c r="I28" s="2" t="s">
        <v>24</v>
      </c>
    </row>
    <row r="29" spans="1:9" x14ac:dyDescent="0.3">
      <c r="A29" s="14">
        <v>43497</v>
      </c>
      <c r="B29" s="3" t="s">
        <v>20</v>
      </c>
      <c r="C29" s="3" t="s">
        <v>31</v>
      </c>
      <c r="D29" s="3" t="s">
        <v>38</v>
      </c>
      <c r="E29" s="3" t="s">
        <v>39</v>
      </c>
      <c r="F29" s="3">
        <v>87</v>
      </c>
      <c r="G29" s="3">
        <v>500</v>
      </c>
      <c r="H29" s="3">
        <v>43500</v>
      </c>
      <c r="I29" s="3" t="s">
        <v>43</v>
      </c>
    </row>
    <row r="30" spans="1:9" x14ac:dyDescent="0.3">
      <c r="A30" s="14">
        <v>43531</v>
      </c>
      <c r="B30" s="3" t="s">
        <v>25</v>
      </c>
      <c r="C30" s="3" t="s">
        <v>21</v>
      </c>
      <c r="D30" s="3" t="s">
        <v>26</v>
      </c>
      <c r="E30" s="3" t="s">
        <v>39</v>
      </c>
      <c r="F30" s="3">
        <v>7</v>
      </c>
      <c r="G30" s="3">
        <v>500</v>
      </c>
      <c r="H30" s="3">
        <v>3500</v>
      </c>
      <c r="I30" s="3" t="s">
        <v>33</v>
      </c>
    </row>
    <row r="31" spans="1:9" x14ac:dyDescent="0.3">
      <c r="A31" s="13">
        <v>43548</v>
      </c>
      <c r="B31" s="2" t="s">
        <v>20</v>
      </c>
      <c r="C31" s="2" t="s">
        <v>35</v>
      </c>
      <c r="D31" s="2" t="s">
        <v>41</v>
      </c>
      <c r="E31" s="2" t="s">
        <v>46</v>
      </c>
      <c r="F31" s="2">
        <v>50</v>
      </c>
      <c r="G31" s="2">
        <v>58.5</v>
      </c>
      <c r="H31" s="2">
        <v>2925</v>
      </c>
      <c r="I31" s="2" t="s">
        <v>24</v>
      </c>
    </row>
    <row r="32" spans="1:9" x14ac:dyDescent="0.3">
      <c r="A32" s="14">
        <v>43565</v>
      </c>
      <c r="B32" s="3" t="s">
        <v>20</v>
      </c>
      <c r="C32" s="3" t="s">
        <v>28</v>
      </c>
      <c r="D32" s="3" t="s">
        <v>42</v>
      </c>
      <c r="E32" s="3" t="s">
        <v>45</v>
      </c>
      <c r="F32" s="3">
        <v>66</v>
      </c>
      <c r="G32" s="3">
        <v>1198</v>
      </c>
      <c r="H32" s="3">
        <v>79068</v>
      </c>
      <c r="I32" s="3" t="s">
        <v>33</v>
      </c>
    </row>
    <row r="33" spans="1:9" x14ac:dyDescent="0.3">
      <c r="A33" s="13">
        <v>43582</v>
      </c>
      <c r="B33" s="2" t="s">
        <v>27</v>
      </c>
      <c r="C33" s="2" t="s">
        <v>28</v>
      </c>
      <c r="D33" s="2" t="s">
        <v>29</v>
      </c>
      <c r="E33" s="2" t="s">
        <v>23</v>
      </c>
      <c r="F33" s="2">
        <v>96</v>
      </c>
      <c r="G33" s="2">
        <v>225</v>
      </c>
      <c r="H33" s="2">
        <v>21600</v>
      </c>
      <c r="I33" s="2" t="s">
        <v>30</v>
      </c>
    </row>
    <row r="34" spans="1:9" x14ac:dyDescent="0.3">
      <c r="A34" s="14">
        <v>43599</v>
      </c>
      <c r="B34" s="3" t="s">
        <v>20</v>
      </c>
      <c r="C34" s="3" t="s">
        <v>21</v>
      </c>
      <c r="D34" s="3" t="s">
        <v>22</v>
      </c>
      <c r="E34" s="3" t="s">
        <v>45</v>
      </c>
      <c r="F34" s="3">
        <v>53</v>
      </c>
      <c r="G34" s="3">
        <v>1198</v>
      </c>
      <c r="H34" s="3">
        <v>63494</v>
      </c>
      <c r="I34" s="3" t="s">
        <v>43</v>
      </c>
    </row>
    <row r="35" spans="1:9" x14ac:dyDescent="0.3">
      <c r="A35" s="14">
        <v>43633</v>
      </c>
      <c r="B35" s="3" t="s">
        <v>20</v>
      </c>
      <c r="C35" s="3" t="s">
        <v>35</v>
      </c>
      <c r="D35" s="3" t="s">
        <v>36</v>
      </c>
      <c r="E35" s="3" t="s">
        <v>37</v>
      </c>
      <c r="F35" s="3">
        <v>5</v>
      </c>
      <c r="G35" s="3">
        <v>125</v>
      </c>
      <c r="H35" s="3">
        <v>625</v>
      </c>
      <c r="I35" s="3" t="s">
        <v>33</v>
      </c>
    </row>
    <row r="36" spans="1:9" x14ac:dyDescent="0.3">
      <c r="A36" s="13">
        <v>43650</v>
      </c>
      <c r="B36" s="2" t="s">
        <v>27</v>
      </c>
      <c r="C36" s="2" t="s">
        <v>28</v>
      </c>
      <c r="D36" s="2" t="s">
        <v>34</v>
      </c>
      <c r="E36" s="2" t="s">
        <v>46</v>
      </c>
      <c r="F36" s="2">
        <v>62</v>
      </c>
      <c r="G36" s="2">
        <v>58.5</v>
      </c>
      <c r="H36" s="2">
        <v>3627</v>
      </c>
      <c r="I36" s="2" t="s">
        <v>30</v>
      </c>
    </row>
    <row r="37" spans="1:9" x14ac:dyDescent="0.3">
      <c r="A37" s="13">
        <v>43667</v>
      </c>
      <c r="B37" s="2" t="s">
        <v>20</v>
      </c>
      <c r="C37" s="2" t="s">
        <v>35</v>
      </c>
      <c r="D37" s="2" t="s">
        <v>40</v>
      </c>
      <c r="E37" s="2" t="s">
        <v>46</v>
      </c>
      <c r="F37" s="2">
        <v>55</v>
      </c>
      <c r="G37" s="2">
        <v>58.5</v>
      </c>
      <c r="H37" s="2">
        <v>3217.5</v>
      </c>
      <c r="I37" s="2" t="s">
        <v>33</v>
      </c>
    </row>
    <row r="38" spans="1:9" x14ac:dyDescent="0.3">
      <c r="A38" s="14">
        <v>43684</v>
      </c>
      <c r="B38" s="3" t="s">
        <v>20</v>
      </c>
      <c r="C38" s="3" t="s">
        <v>35</v>
      </c>
      <c r="D38" s="3" t="s">
        <v>36</v>
      </c>
      <c r="E38" s="3" t="s">
        <v>46</v>
      </c>
      <c r="F38" s="3">
        <v>42</v>
      </c>
      <c r="G38" s="3">
        <v>58.5</v>
      </c>
      <c r="H38" s="3">
        <v>2457</v>
      </c>
      <c r="I38" s="3" t="s">
        <v>24</v>
      </c>
    </row>
    <row r="39" spans="1:9" x14ac:dyDescent="0.3">
      <c r="A39" s="13">
        <v>43718</v>
      </c>
      <c r="B39" s="2" t="s">
        <v>20</v>
      </c>
      <c r="C39" s="2" t="s">
        <v>21</v>
      </c>
      <c r="D39" s="2" t="s">
        <v>22</v>
      </c>
      <c r="E39" s="2" t="s">
        <v>45</v>
      </c>
      <c r="F39" s="2">
        <v>7</v>
      </c>
      <c r="G39" s="2">
        <v>1198</v>
      </c>
      <c r="H39" s="2">
        <v>8386</v>
      </c>
      <c r="I39" s="2" t="s">
        <v>33</v>
      </c>
    </row>
    <row r="40" spans="1:9" x14ac:dyDescent="0.3">
      <c r="A40" s="14">
        <v>43735</v>
      </c>
      <c r="B40" s="3" t="s">
        <v>25</v>
      </c>
      <c r="C40" s="3" t="s">
        <v>21</v>
      </c>
      <c r="D40" s="3" t="s">
        <v>26</v>
      </c>
      <c r="E40" s="3" t="s">
        <v>23</v>
      </c>
      <c r="F40" s="3">
        <v>76</v>
      </c>
      <c r="G40" s="3">
        <v>225</v>
      </c>
      <c r="H40" s="3">
        <v>17100</v>
      </c>
      <c r="I40" s="3" t="s">
        <v>24</v>
      </c>
    </row>
    <row r="41" spans="1:9" x14ac:dyDescent="0.3">
      <c r="A41" s="13">
        <v>43752</v>
      </c>
      <c r="B41" s="2" t="s">
        <v>25</v>
      </c>
      <c r="C41" s="2" t="s">
        <v>31</v>
      </c>
      <c r="D41" s="2" t="s">
        <v>44</v>
      </c>
      <c r="E41" s="2" t="s">
        <v>39</v>
      </c>
      <c r="F41" s="2">
        <v>57</v>
      </c>
      <c r="G41" s="2">
        <v>500</v>
      </c>
      <c r="H41" s="2">
        <v>28500</v>
      </c>
      <c r="I41" s="2" t="s">
        <v>30</v>
      </c>
    </row>
    <row r="42" spans="1:9" x14ac:dyDescent="0.3">
      <c r="A42" s="14">
        <v>43769</v>
      </c>
      <c r="B42" s="3" t="s">
        <v>20</v>
      </c>
      <c r="C42" s="3" t="s">
        <v>28</v>
      </c>
      <c r="D42" s="3" t="s">
        <v>42</v>
      </c>
      <c r="E42" s="3" t="s">
        <v>45</v>
      </c>
      <c r="F42" s="3">
        <v>14</v>
      </c>
      <c r="G42" s="3">
        <v>1198</v>
      </c>
      <c r="H42" s="3">
        <v>16772</v>
      </c>
      <c r="I42" s="3" t="s">
        <v>33</v>
      </c>
    </row>
    <row r="43" spans="1:9" x14ac:dyDescent="0.3">
      <c r="A43" s="13">
        <v>43786</v>
      </c>
      <c r="B43" s="2" t="s">
        <v>20</v>
      </c>
      <c r="C43" s="2" t="s">
        <v>35</v>
      </c>
      <c r="D43" s="2" t="s">
        <v>41</v>
      </c>
      <c r="E43" s="2" t="s">
        <v>39</v>
      </c>
      <c r="F43" s="2">
        <v>11</v>
      </c>
      <c r="G43" s="2">
        <v>500</v>
      </c>
      <c r="H43" s="2">
        <v>5500</v>
      </c>
      <c r="I43" s="2" t="s">
        <v>33</v>
      </c>
    </row>
    <row r="44" spans="1:9" x14ac:dyDescent="0.3">
      <c r="A44" s="14">
        <v>43820</v>
      </c>
      <c r="B44" s="3" t="s">
        <v>20</v>
      </c>
      <c r="C44" s="3" t="s">
        <v>28</v>
      </c>
      <c r="D44" s="3" t="s">
        <v>42</v>
      </c>
      <c r="E44" s="3" t="s">
        <v>39</v>
      </c>
      <c r="F44" s="3">
        <v>28</v>
      </c>
      <c r="G44" s="3">
        <v>500</v>
      </c>
      <c r="H44" s="3">
        <v>14000</v>
      </c>
      <c r="I44" s="3" t="s">
        <v>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5635-0AC0-4070-8D92-B54F215509BE}">
  <dimension ref="B4:Q19"/>
  <sheetViews>
    <sheetView workbookViewId="0">
      <selection activeCell="I7" sqref="I7:Q19"/>
    </sheetView>
  </sheetViews>
  <sheetFormatPr defaultRowHeight="14.4" x14ac:dyDescent="0.3"/>
  <sheetData>
    <row r="4" spans="2:17" x14ac:dyDescent="0.3">
      <c r="B4" t="s">
        <v>51</v>
      </c>
      <c r="C4">
        <v>500</v>
      </c>
      <c r="F4">
        <f>C4*C5*C6</f>
        <v>27500</v>
      </c>
    </row>
    <row r="5" spans="2:17" x14ac:dyDescent="0.3">
      <c r="B5" t="s">
        <v>52</v>
      </c>
      <c r="C5">
        <v>55</v>
      </c>
      <c r="E5">
        <v>500</v>
      </c>
      <c r="F5">
        <f t="dataTable" ref="F5:F18" dt2D="0" dtr="0" r1="C4" ca="1"/>
        <v>27500</v>
      </c>
    </row>
    <row r="6" spans="2:17" x14ac:dyDescent="0.3">
      <c r="B6" t="s">
        <v>3</v>
      </c>
      <c r="C6">
        <v>1</v>
      </c>
      <c r="E6">
        <v>600</v>
      </c>
      <c r="F6">
        <v>33000</v>
      </c>
    </row>
    <row r="7" spans="2:17" x14ac:dyDescent="0.3">
      <c r="E7">
        <v>700</v>
      </c>
      <c r="F7">
        <v>38500</v>
      </c>
      <c r="I7">
        <f>C4*C5*C6</f>
        <v>27500</v>
      </c>
      <c r="J7">
        <v>1</v>
      </c>
      <c r="K7">
        <v>2</v>
      </c>
      <c r="L7">
        <v>3</v>
      </c>
      <c r="M7">
        <v>4</v>
      </c>
      <c r="N7">
        <v>5</v>
      </c>
      <c r="O7">
        <v>6</v>
      </c>
      <c r="P7">
        <v>7</v>
      </c>
      <c r="Q7">
        <v>8</v>
      </c>
    </row>
    <row r="8" spans="2:17" x14ac:dyDescent="0.3">
      <c r="B8" t="s">
        <v>53</v>
      </c>
      <c r="C8">
        <f>C4*C5*C6</f>
        <v>27500</v>
      </c>
      <c r="E8">
        <v>800</v>
      </c>
      <c r="F8">
        <v>44000</v>
      </c>
      <c r="I8">
        <v>500</v>
      </c>
      <c r="J8">
        <f t="dataTable" ref="J8:Q19" dt2D="1" dtr="1" r1="C6" r2="C4"/>
        <v>27500</v>
      </c>
      <c r="K8">
        <v>55000</v>
      </c>
      <c r="L8">
        <v>82500</v>
      </c>
      <c r="M8">
        <v>110000</v>
      </c>
      <c r="N8">
        <v>137500</v>
      </c>
      <c r="O8">
        <v>165000</v>
      </c>
      <c r="P8">
        <v>192500</v>
      </c>
      <c r="Q8">
        <v>220000</v>
      </c>
    </row>
    <row r="9" spans="2:17" x14ac:dyDescent="0.3">
      <c r="E9">
        <v>900</v>
      </c>
      <c r="F9">
        <v>49500</v>
      </c>
      <c r="I9">
        <v>600</v>
      </c>
      <c r="J9">
        <v>33000</v>
      </c>
      <c r="K9">
        <v>66000</v>
      </c>
      <c r="L9">
        <v>99000</v>
      </c>
      <c r="M9">
        <v>132000</v>
      </c>
      <c r="N9">
        <v>165000</v>
      </c>
      <c r="O9">
        <v>198000</v>
      </c>
      <c r="P9">
        <v>231000</v>
      </c>
      <c r="Q9">
        <v>264000</v>
      </c>
    </row>
    <row r="10" spans="2:17" x14ac:dyDescent="0.3">
      <c r="E10">
        <v>1000</v>
      </c>
      <c r="F10">
        <v>55000</v>
      </c>
      <c r="I10">
        <v>700</v>
      </c>
      <c r="J10">
        <v>38500</v>
      </c>
      <c r="K10">
        <v>77000</v>
      </c>
      <c r="L10">
        <v>115500</v>
      </c>
      <c r="M10">
        <v>154000</v>
      </c>
      <c r="N10">
        <v>192500</v>
      </c>
      <c r="O10">
        <v>231000</v>
      </c>
      <c r="P10">
        <v>269500</v>
      </c>
      <c r="Q10">
        <v>308000</v>
      </c>
    </row>
    <row r="11" spans="2:17" x14ac:dyDescent="0.3">
      <c r="E11">
        <v>1100</v>
      </c>
      <c r="F11">
        <v>60500</v>
      </c>
      <c r="I11">
        <v>800</v>
      </c>
      <c r="J11">
        <v>44000</v>
      </c>
      <c r="K11">
        <v>88000</v>
      </c>
      <c r="L11">
        <v>132000</v>
      </c>
      <c r="M11">
        <v>176000</v>
      </c>
      <c r="N11">
        <v>220000</v>
      </c>
      <c r="O11">
        <v>264000</v>
      </c>
      <c r="P11">
        <v>308000</v>
      </c>
      <c r="Q11">
        <v>352000</v>
      </c>
    </row>
    <row r="12" spans="2:17" x14ac:dyDescent="0.3">
      <c r="E12">
        <v>1200</v>
      </c>
      <c r="F12">
        <v>66000</v>
      </c>
      <c r="I12">
        <v>900</v>
      </c>
      <c r="J12">
        <v>49500</v>
      </c>
      <c r="K12">
        <v>99000</v>
      </c>
      <c r="L12">
        <v>148500</v>
      </c>
      <c r="M12">
        <v>198000</v>
      </c>
      <c r="N12">
        <v>247500</v>
      </c>
      <c r="O12">
        <v>297000</v>
      </c>
      <c r="P12">
        <v>346500</v>
      </c>
      <c r="Q12">
        <v>396000</v>
      </c>
    </row>
    <row r="13" spans="2:17" x14ac:dyDescent="0.3">
      <c r="E13">
        <v>1300</v>
      </c>
      <c r="F13">
        <v>71500</v>
      </c>
      <c r="I13">
        <v>1000</v>
      </c>
      <c r="J13">
        <v>55000</v>
      </c>
      <c r="K13">
        <v>110000</v>
      </c>
      <c r="L13">
        <v>165000</v>
      </c>
      <c r="M13">
        <v>220000</v>
      </c>
      <c r="N13">
        <v>275000</v>
      </c>
      <c r="O13">
        <v>330000</v>
      </c>
      <c r="P13">
        <v>385000</v>
      </c>
      <c r="Q13">
        <v>440000</v>
      </c>
    </row>
    <row r="14" spans="2:17" x14ac:dyDescent="0.3">
      <c r="E14">
        <v>1400</v>
      </c>
      <c r="F14">
        <v>77000</v>
      </c>
      <c r="I14">
        <v>1100</v>
      </c>
      <c r="J14">
        <v>60500</v>
      </c>
      <c r="K14">
        <v>121000</v>
      </c>
      <c r="L14">
        <v>181500</v>
      </c>
      <c r="M14">
        <v>242000</v>
      </c>
      <c r="N14">
        <v>302500</v>
      </c>
      <c r="O14">
        <v>363000</v>
      </c>
      <c r="P14">
        <v>423500</v>
      </c>
      <c r="Q14">
        <v>484000</v>
      </c>
    </row>
    <row r="15" spans="2:17" x14ac:dyDescent="0.3">
      <c r="E15">
        <v>1500</v>
      </c>
      <c r="F15">
        <v>82500</v>
      </c>
      <c r="I15">
        <v>1200</v>
      </c>
      <c r="J15">
        <v>66000</v>
      </c>
      <c r="K15">
        <v>132000</v>
      </c>
      <c r="L15">
        <v>198000</v>
      </c>
      <c r="M15">
        <v>264000</v>
      </c>
      <c r="N15">
        <v>330000</v>
      </c>
      <c r="O15">
        <v>396000</v>
      </c>
      <c r="P15">
        <v>462000</v>
      </c>
      <c r="Q15">
        <v>528000</v>
      </c>
    </row>
    <row r="16" spans="2:17" x14ac:dyDescent="0.3">
      <c r="E16">
        <v>1600</v>
      </c>
      <c r="F16">
        <v>88000</v>
      </c>
      <c r="I16">
        <v>1300</v>
      </c>
      <c r="J16">
        <v>71500</v>
      </c>
      <c r="K16">
        <v>143000</v>
      </c>
      <c r="L16">
        <v>214500</v>
      </c>
      <c r="M16">
        <v>286000</v>
      </c>
      <c r="N16">
        <v>357500</v>
      </c>
      <c r="O16">
        <v>429000</v>
      </c>
      <c r="P16">
        <v>500500</v>
      </c>
      <c r="Q16">
        <v>572000</v>
      </c>
    </row>
    <row r="17" spans="5:17" x14ac:dyDescent="0.3">
      <c r="E17">
        <v>1700</v>
      </c>
      <c r="F17">
        <v>93500</v>
      </c>
      <c r="I17">
        <v>1400</v>
      </c>
      <c r="J17">
        <v>77000</v>
      </c>
      <c r="K17">
        <v>154000</v>
      </c>
      <c r="L17">
        <v>231000</v>
      </c>
      <c r="M17">
        <v>308000</v>
      </c>
      <c r="N17">
        <v>385000</v>
      </c>
      <c r="O17">
        <v>462000</v>
      </c>
      <c r="P17">
        <v>539000</v>
      </c>
      <c r="Q17">
        <v>616000</v>
      </c>
    </row>
    <row r="18" spans="5:17" x14ac:dyDescent="0.3">
      <c r="E18">
        <v>1800</v>
      </c>
      <c r="F18">
        <v>99000</v>
      </c>
      <c r="I18">
        <v>1500</v>
      </c>
      <c r="J18">
        <v>82500</v>
      </c>
      <c r="K18">
        <v>165000</v>
      </c>
      <c r="L18">
        <v>247500</v>
      </c>
      <c r="M18">
        <v>330000</v>
      </c>
      <c r="N18">
        <v>412500</v>
      </c>
      <c r="O18">
        <v>495000</v>
      </c>
      <c r="P18">
        <v>577500</v>
      </c>
      <c r="Q18">
        <v>660000</v>
      </c>
    </row>
    <row r="19" spans="5:17" x14ac:dyDescent="0.3">
      <c r="I19">
        <v>1600</v>
      </c>
      <c r="J19">
        <v>88000</v>
      </c>
      <c r="K19">
        <v>176000</v>
      </c>
      <c r="L19">
        <v>264000</v>
      </c>
      <c r="M19">
        <v>352000</v>
      </c>
      <c r="N19">
        <v>440000</v>
      </c>
      <c r="O19">
        <v>528000</v>
      </c>
      <c r="P19">
        <v>616000</v>
      </c>
      <c r="Q19">
        <v>704000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DFC98-DCB1-4F4A-B660-D875D1C50D6F}">
  <dimension ref="A1:I25"/>
  <sheetViews>
    <sheetView tabSelected="1" workbookViewId="0">
      <selection activeCell="G18" sqref="G18"/>
    </sheetView>
  </sheetViews>
  <sheetFormatPr defaultRowHeight="14.4" x14ac:dyDescent="0.3"/>
  <cols>
    <col min="1" max="1" width="11.5546875" customWidth="1"/>
    <col min="3" max="3" width="10.44140625" customWidth="1"/>
    <col min="4" max="4" width="11" customWidth="1"/>
    <col min="7" max="7" width="12.44140625" customWidth="1"/>
    <col min="8" max="8" width="10.6640625" customWidth="1"/>
    <col min="9" max="9" width="15" customWidth="1"/>
  </cols>
  <sheetData>
    <row r="1" spans="1:9" x14ac:dyDescent="0.3">
      <c r="A1" s="29" t="s">
        <v>11</v>
      </c>
      <c r="B1" s="30" t="s">
        <v>12</v>
      </c>
      <c r="C1" s="30" t="s">
        <v>13</v>
      </c>
      <c r="D1" s="30" t="s">
        <v>14</v>
      </c>
      <c r="E1" s="30" t="s">
        <v>15</v>
      </c>
      <c r="F1" s="30" t="s">
        <v>16</v>
      </c>
      <c r="G1" s="31" t="s">
        <v>17</v>
      </c>
      <c r="H1" s="30" t="s">
        <v>18</v>
      </c>
      <c r="I1" s="32" t="s">
        <v>19</v>
      </c>
    </row>
    <row r="2" spans="1:9" x14ac:dyDescent="0.3">
      <c r="A2" s="33">
        <v>43106</v>
      </c>
      <c r="B2" s="2" t="s">
        <v>27</v>
      </c>
      <c r="C2" s="2" t="s">
        <v>28</v>
      </c>
      <c r="D2" s="2" t="s">
        <v>34</v>
      </c>
      <c r="E2" s="2" t="s">
        <v>45</v>
      </c>
      <c r="F2" s="2">
        <v>95</v>
      </c>
      <c r="G2" s="2">
        <v>1198</v>
      </c>
      <c r="H2" s="2">
        <v>113810</v>
      </c>
      <c r="I2" s="28" t="s">
        <v>43</v>
      </c>
    </row>
    <row r="3" spans="1:9" x14ac:dyDescent="0.3">
      <c r="A3" s="33">
        <v>43140</v>
      </c>
      <c r="B3" s="2" t="s">
        <v>20</v>
      </c>
      <c r="C3" s="2" t="s">
        <v>35</v>
      </c>
      <c r="D3" s="2" t="s">
        <v>41</v>
      </c>
      <c r="E3" s="2" t="s">
        <v>45</v>
      </c>
      <c r="F3" s="2">
        <v>36</v>
      </c>
      <c r="G3" s="2">
        <v>1198</v>
      </c>
      <c r="H3" s="2">
        <v>43128</v>
      </c>
      <c r="I3" s="28" t="s">
        <v>33</v>
      </c>
    </row>
    <row r="4" spans="1:9" x14ac:dyDescent="0.3">
      <c r="A4" s="33">
        <v>43157</v>
      </c>
      <c r="B4" s="2" t="s">
        <v>20</v>
      </c>
      <c r="C4" s="2" t="s">
        <v>21</v>
      </c>
      <c r="D4" s="2" t="s">
        <v>22</v>
      </c>
      <c r="E4" s="2" t="s">
        <v>23</v>
      </c>
      <c r="F4" s="2">
        <v>27</v>
      </c>
      <c r="G4" s="2">
        <v>225</v>
      </c>
      <c r="H4" s="2">
        <v>6075</v>
      </c>
      <c r="I4" s="28" t="s">
        <v>24</v>
      </c>
    </row>
    <row r="5" spans="1:9" x14ac:dyDescent="0.3">
      <c r="A5" s="34">
        <v>43174</v>
      </c>
      <c r="B5" s="3" t="s">
        <v>25</v>
      </c>
      <c r="C5" s="3" t="s">
        <v>21</v>
      </c>
      <c r="D5" s="3" t="s">
        <v>26</v>
      </c>
      <c r="E5" s="3" t="s">
        <v>45</v>
      </c>
      <c r="F5" s="3">
        <v>56</v>
      </c>
      <c r="G5" s="3">
        <v>1198</v>
      </c>
      <c r="H5" s="3">
        <v>67088</v>
      </c>
      <c r="I5" s="35" t="s">
        <v>43</v>
      </c>
    </row>
    <row r="6" spans="1:9" x14ac:dyDescent="0.3">
      <c r="A6" s="33">
        <v>43208</v>
      </c>
      <c r="B6" s="2" t="s">
        <v>20</v>
      </c>
      <c r="C6" s="2" t="s">
        <v>28</v>
      </c>
      <c r="D6" s="2" t="s">
        <v>42</v>
      </c>
      <c r="E6" s="2" t="s">
        <v>45</v>
      </c>
      <c r="F6" s="2">
        <v>75</v>
      </c>
      <c r="G6" s="2">
        <v>1198</v>
      </c>
      <c r="H6" s="2">
        <v>89850</v>
      </c>
      <c r="I6" s="28" t="s">
        <v>33</v>
      </c>
    </row>
    <row r="7" spans="1:9" x14ac:dyDescent="0.3">
      <c r="A7" s="33">
        <v>43225</v>
      </c>
      <c r="B7" s="2" t="s">
        <v>20</v>
      </c>
      <c r="C7" s="2" t="s">
        <v>35</v>
      </c>
      <c r="D7" s="2" t="s">
        <v>41</v>
      </c>
      <c r="E7" s="2" t="s">
        <v>45</v>
      </c>
      <c r="F7" s="2">
        <v>90</v>
      </c>
      <c r="G7" s="2">
        <v>1198</v>
      </c>
      <c r="H7" s="2">
        <v>107820</v>
      </c>
      <c r="I7" s="28" t="s">
        <v>43</v>
      </c>
    </row>
    <row r="8" spans="1:9" x14ac:dyDescent="0.3">
      <c r="A8" s="33">
        <v>43344</v>
      </c>
      <c r="B8" s="2" t="s">
        <v>20</v>
      </c>
      <c r="C8" s="2" t="s">
        <v>31</v>
      </c>
      <c r="D8" s="2" t="s">
        <v>38</v>
      </c>
      <c r="E8" s="2" t="s">
        <v>37</v>
      </c>
      <c r="F8" s="2">
        <v>2</v>
      </c>
      <c r="G8" s="2">
        <v>125</v>
      </c>
      <c r="H8" s="2">
        <v>250</v>
      </c>
      <c r="I8" s="28" t="s">
        <v>24</v>
      </c>
    </row>
    <row r="9" spans="1:9" x14ac:dyDescent="0.3">
      <c r="A9" s="34">
        <v>43701</v>
      </c>
      <c r="B9" s="3" t="s">
        <v>25</v>
      </c>
      <c r="C9" s="3" t="s">
        <v>21</v>
      </c>
      <c r="D9" s="3" t="s">
        <v>26</v>
      </c>
      <c r="E9" s="3" t="s">
        <v>37</v>
      </c>
      <c r="F9" s="3">
        <v>3</v>
      </c>
      <c r="G9" s="3">
        <v>125</v>
      </c>
      <c r="H9" s="3">
        <v>375</v>
      </c>
      <c r="I9" s="35" t="s">
        <v>30</v>
      </c>
    </row>
    <row r="10" spans="1:9" x14ac:dyDescent="0.3">
      <c r="A10" s="33">
        <v>43123</v>
      </c>
      <c r="B10" s="2" t="s">
        <v>20</v>
      </c>
      <c r="C10" s="2" t="s">
        <v>35</v>
      </c>
      <c r="D10" s="2" t="s">
        <v>36</v>
      </c>
      <c r="E10" s="2" t="s">
        <v>39</v>
      </c>
      <c r="F10" s="2">
        <v>50</v>
      </c>
      <c r="G10" s="2">
        <v>500</v>
      </c>
      <c r="H10" s="2">
        <v>25000</v>
      </c>
      <c r="I10" s="28" t="s">
        <v>30</v>
      </c>
    </row>
    <row r="11" spans="1:9" x14ac:dyDescent="0.3">
      <c r="A11" s="34">
        <v>43378</v>
      </c>
      <c r="B11" s="3" t="s">
        <v>20</v>
      </c>
      <c r="C11" s="3" t="s">
        <v>35</v>
      </c>
      <c r="D11" s="3" t="s">
        <v>40</v>
      </c>
      <c r="E11" s="3" t="s">
        <v>39</v>
      </c>
      <c r="F11" s="3">
        <v>28</v>
      </c>
      <c r="G11" s="3">
        <v>500</v>
      </c>
      <c r="H11" s="3">
        <v>14000</v>
      </c>
      <c r="I11" s="35" t="s">
        <v>30</v>
      </c>
    </row>
    <row r="12" spans="1:9" x14ac:dyDescent="0.3">
      <c r="A12" s="33">
        <v>43616</v>
      </c>
      <c r="B12" s="2" t="s">
        <v>20</v>
      </c>
      <c r="C12" s="2" t="s">
        <v>21</v>
      </c>
      <c r="D12" s="2" t="s">
        <v>22</v>
      </c>
      <c r="E12" s="2" t="s">
        <v>39</v>
      </c>
      <c r="F12" s="2">
        <v>80</v>
      </c>
      <c r="G12" s="2">
        <v>500</v>
      </c>
      <c r="H12" s="2">
        <v>40000</v>
      </c>
      <c r="I12" s="28" t="s">
        <v>30</v>
      </c>
    </row>
    <row r="13" spans="1:9" x14ac:dyDescent="0.3">
      <c r="A13" s="34">
        <v>43803</v>
      </c>
      <c r="B13" s="3" t="s">
        <v>20</v>
      </c>
      <c r="C13" s="3" t="s">
        <v>35</v>
      </c>
      <c r="D13" s="3" t="s">
        <v>41</v>
      </c>
      <c r="E13" s="3" t="s">
        <v>39</v>
      </c>
      <c r="F13" s="3">
        <v>94</v>
      </c>
      <c r="G13" s="3">
        <v>500</v>
      </c>
      <c r="H13" s="3">
        <v>47000</v>
      </c>
      <c r="I13" s="35" t="s">
        <v>30</v>
      </c>
    </row>
    <row r="14" spans="1:9" x14ac:dyDescent="0.3">
      <c r="A14" s="33">
        <v>43242</v>
      </c>
      <c r="B14" s="2" t="s">
        <v>25</v>
      </c>
      <c r="C14" s="2" t="s">
        <v>31</v>
      </c>
      <c r="D14" s="2" t="s">
        <v>44</v>
      </c>
      <c r="E14" s="2" t="s">
        <v>45</v>
      </c>
      <c r="F14" s="2">
        <v>32</v>
      </c>
      <c r="G14" s="2">
        <v>1198</v>
      </c>
      <c r="H14" s="2">
        <v>38336</v>
      </c>
      <c r="I14" s="28" t="s">
        <v>30</v>
      </c>
    </row>
    <row r="15" spans="1:9" x14ac:dyDescent="0.3">
      <c r="A15" s="34">
        <v>43276</v>
      </c>
      <c r="B15" s="3" t="s">
        <v>20</v>
      </c>
      <c r="C15" s="3" t="s">
        <v>35</v>
      </c>
      <c r="D15" s="3" t="s">
        <v>40</v>
      </c>
      <c r="E15" s="3" t="s">
        <v>45</v>
      </c>
      <c r="F15" s="3">
        <v>90</v>
      </c>
      <c r="G15" s="3">
        <v>1198</v>
      </c>
      <c r="H15" s="3">
        <v>107820</v>
      </c>
      <c r="I15" s="35" t="s">
        <v>30</v>
      </c>
    </row>
    <row r="16" spans="1:9" x14ac:dyDescent="0.3">
      <c r="A16" s="33">
        <v>43327</v>
      </c>
      <c r="B16" s="2" t="s">
        <v>27</v>
      </c>
      <c r="C16" s="2" t="s">
        <v>28</v>
      </c>
      <c r="D16" s="2" t="s">
        <v>34</v>
      </c>
      <c r="E16" s="2" t="s">
        <v>45</v>
      </c>
      <c r="F16" s="2">
        <v>35</v>
      </c>
      <c r="G16" s="2">
        <v>1198</v>
      </c>
      <c r="H16" s="2">
        <v>41930</v>
      </c>
      <c r="I16" s="28" t="s">
        <v>33</v>
      </c>
    </row>
    <row r="17" spans="1:9" x14ac:dyDescent="0.3">
      <c r="A17" s="33">
        <v>43361</v>
      </c>
      <c r="B17" s="2" t="s">
        <v>27</v>
      </c>
      <c r="C17" s="2" t="s">
        <v>28</v>
      </c>
      <c r="D17" s="2" t="s">
        <v>34</v>
      </c>
      <c r="E17" s="2" t="s">
        <v>46</v>
      </c>
      <c r="F17" s="2">
        <v>16</v>
      </c>
      <c r="G17" s="2">
        <v>58.5</v>
      </c>
      <c r="H17" s="2">
        <v>936</v>
      </c>
      <c r="I17" s="28" t="s">
        <v>43</v>
      </c>
    </row>
    <row r="18" spans="1:9" x14ac:dyDescent="0.3">
      <c r="A18" s="33">
        <v>43395</v>
      </c>
      <c r="B18" s="2" t="s">
        <v>27</v>
      </c>
      <c r="C18" s="2" t="s">
        <v>28</v>
      </c>
      <c r="D18" s="2" t="s">
        <v>34</v>
      </c>
      <c r="E18" s="2" t="s">
        <v>23</v>
      </c>
      <c r="F18" s="2">
        <v>64</v>
      </c>
      <c r="G18" s="2">
        <v>225</v>
      </c>
      <c r="H18" s="2">
        <v>14400</v>
      </c>
      <c r="I18" s="28" t="s">
        <v>24</v>
      </c>
    </row>
    <row r="19" spans="1:9" x14ac:dyDescent="0.3">
      <c r="A19" s="34">
        <v>43412</v>
      </c>
      <c r="B19" s="3" t="s">
        <v>27</v>
      </c>
      <c r="C19" s="3" t="s">
        <v>31</v>
      </c>
      <c r="D19" s="3" t="s">
        <v>32</v>
      </c>
      <c r="E19" s="3" t="s">
        <v>23</v>
      </c>
      <c r="F19" s="3">
        <v>15</v>
      </c>
      <c r="G19" s="3">
        <v>225</v>
      </c>
      <c r="H19" s="3">
        <v>3375</v>
      </c>
      <c r="I19" s="35" t="s">
        <v>33</v>
      </c>
    </row>
    <row r="20" spans="1:9" x14ac:dyDescent="0.3">
      <c r="A20" s="33">
        <v>43191</v>
      </c>
      <c r="B20" s="2" t="s">
        <v>27</v>
      </c>
      <c r="C20" s="2" t="s">
        <v>28</v>
      </c>
      <c r="D20" s="2" t="s">
        <v>34</v>
      </c>
      <c r="E20" s="2" t="s">
        <v>39</v>
      </c>
      <c r="F20" s="2">
        <v>60</v>
      </c>
      <c r="G20" s="2">
        <v>500</v>
      </c>
      <c r="H20" s="2">
        <v>30000</v>
      </c>
      <c r="I20" s="28" t="s">
        <v>30</v>
      </c>
    </row>
    <row r="21" spans="1:9" x14ac:dyDescent="0.3">
      <c r="A21" s="34">
        <v>43514</v>
      </c>
      <c r="B21" s="3" t="s">
        <v>27</v>
      </c>
      <c r="C21" s="3" t="s">
        <v>28</v>
      </c>
      <c r="D21" s="3" t="s">
        <v>34</v>
      </c>
      <c r="E21" s="3" t="s">
        <v>39</v>
      </c>
      <c r="F21" s="3">
        <v>4</v>
      </c>
      <c r="G21" s="3">
        <v>500</v>
      </c>
      <c r="H21" s="3">
        <v>2000</v>
      </c>
      <c r="I21" s="35" t="s">
        <v>30</v>
      </c>
    </row>
    <row r="22" spans="1:9" x14ac:dyDescent="0.3">
      <c r="A22" s="33">
        <v>43293</v>
      </c>
      <c r="B22" s="2" t="s">
        <v>27</v>
      </c>
      <c r="C22" s="2" t="s">
        <v>28</v>
      </c>
      <c r="D22" s="2" t="s">
        <v>29</v>
      </c>
      <c r="E22" s="2" t="s">
        <v>39</v>
      </c>
      <c r="F22" s="2">
        <v>29</v>
      </c>
      <c r="G22" s="2">
        <v>500</v>
      </c>
      <c r="H22" s="2">
        <v>14500</v>
      </c>
      <c r="I22" s="28" t="s">
        <v>33</v>
      </c>
    </row>
    <row r="23" spans="1:9" x14ac:dyDescent="0.3">
      <c r="A23" s="34">
        <v>43310</v>
      </c>
      <c r="B23" s="3" t="s">
        <v>27</v>
      </c>
      <c r="C23" s="3" t="s">
        <v>31</v>
      </c>
      <c r="D23" s="3" t="s">
        <v>32</v>
      </c>
      <c r="E23" s="3" t="s">
        <v>39</v>
      </c>
      <c r="F23" s="3">
        <v>81</v>
      </c>
      <c r="G23" s="3">
        <v>500</v>
      </c>
      <c r="H23" s="3">
        <v>40500</v>
      </c>
      <c r="I23" s="35" t="s">
        <v>24</v>
      </c>
    </row>
    <row r="24" spans="1:9" x14ac:dyDescent="0.3">
      <c r="A24" s="33">
        <v>43259</v>
      </c>
      <c r="B24" s="2" t="s">
        <v>27</v>
      </c>
      <c r="C24" s="2" t="s">
        <v>28</v>
      </c>
      <c r="D24" s="2" t="s">
        <v>34</v>
      </c>
      <c r="E24" s="2" t="s">
        <v>39</v>
      </c>
      <c r="F24" s="2">
        <v>60</v>
      </c>
      <c r="G24" s="2">
        <v>500</v>
      </c>
      <c r="H24" s="2">
        <v>30000</v>
      </c>
      <c r="I24" s="28" t="s">
        <v>43</v>
      </c>
    </row>
    <row r="25" spans="1:9" x14ac:dyDescent="0.3">
      <c r="A25" s="15">
        <v>43429</v>
      </c>
      <c r="B25" s="9" t="s">
        <v>20</v>
      </c>
      <c r="C25" s="9" t="s">
        <v>35</v>
      </c>
      <c r="D25" s="9" t="s">
        <v>36</v>
      </c>
      <c r="E25" s="9" t="s">
        <v>46</v>
      </c>
      <c r="F25" s="9">
        <v>96</v>
      </c>
      <c r="G25" s="9">
        <v>58.5</v>
      </c>
      <c r="H25" s="9">
        <v>5616</v>
      </c>
      <c r="I25" s="10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93AF5-4D24-4E87-A163-2F584BD005EC}">
  <dimension ref="A1:I12"/>
  <sheetViews>
    <sheetView workbookViewId="0">
      <selection activeCell="F15" sqref="F15"/>
    </sheetView>
  </sheetViews>
  <sheetFormatPr defaultRowHeight="14.4" x14ac:dyDescent="0.3"/>
  <sheetData>
    <row r="1" spans="1:9" x14ac:dyDescent="0.3">
      <c r="A1" s="24" t="s">
        <v>11</v>
      </c>
      <c r="B1" s="25" t="s">
        <v>12</v>
      </c>
      <c r="C1" s="25" t="s">
        <v>13</v>
      </c>
      <c r="D1" s="25" t="s">
        <v>14</v>
      </c>
      <c r="E1" s="25" t="s">
        <v>15</v>
      </c>
      <c r="F1" s="25" t="s">
        <v>16</v>
      </c>
      <c r="G1" s="8" t="s">
        <v>17</v>
      </c>
      <c r="H1" s="25" t="s">
        <v>18</v>
      </c>
      <c r="I1" s="26" t="s">
        <v>19</v>
      </c>
    </row>
    <row r="2" spans="1:9" x14ac:dyDescent="0.3">
      <c r="A2" s="15">
        <v>43106</v>
      </c>
      <c r="B2" s="9" t="s">
        <v>27</v>
      </c>
      <c r="C2" s="9" t="s">
        <v>28</v>
      </c>
      <c r="D2" s="9" t="s">
        <v>34</v>
      </c>
      <c r="E2" s="9" t="s">
        <v>45</v>
      </c>
      <c r="F2" s="9">
        <v>95</v>
      </c>
      <c r="G2" s="9">
        <v>1198</v>
      </c>
      <c r="H2" s="9">
        <v>113810</v>
      </c>
      <c r="I2" s="10" t="s">
        <v>43</v>
      </c>
    </row>
    <row r="3" spans="1:9" x14ac:dyDescent="0.3">
      <c r="A3" s="15">
        <v>43140</v>
      </c>
      <c r="B3" s="9" t="s">
        <v>20</v>
      </c>
      <c r="C3" s="9" t="s">
        <v>35</v>
      </c>
      <c r="D3" s="9" t="s">
        <v>41</v>
      </c>
      <c r="E3" s="9" t="s">
        <v>45</v>
      </c>
      <c r="F3" s="9">
        <v>36</v>
      </c>
      <c r="G3" s="9">
        <v>1198</v>
      </c>
      <c r="H3" s="9">
        <v>43128</v>
      </c>
      <c r="I3" s="10" t="s">
        <v>33</v>
      </c>
    </row>
    <row r="4" spans="1:9" x14ac:dyDescent="0.3">
      <c r="A4" s="15">
        <v>43157</v>
      </c>
      <c r="B4" s="9" t="s">
        <v>20</v>
      </c>
      <c r="C4" s="9" t="s">
        <v>21</v>
      </c>
      <c r="D4" s="9" t="s">
        <v>22</v>
      </c>
      <c r="E4" s="9" t="s">
        <v>23</v>
      </c>
      <c r="F4" s="9">
        <v>27</v>
      </c>
      <c r="G4" s="9">
        <v>225</v>
      </c>
      <c r="H4" s="9">
        <v>6075</v>
      </c>
      <c r="I4" s="10" t="s">
        <v>24</v>
      </c>
    </row>
    <row r="5" spans="1:9" x14ac:dyDescent="0.3">
      <c r="A5" s="16">
        <v>43174</v>
      </c>
      <c r="B5" s="11" t="s">
        <v>25</v>
      </c>
      <c r="C5" s="11" t="s">
        <v>21</v>
      </c>
      <c r="D5" s="11" t="s">
        <v>26</v>
      </c>
      <c r="E5" s="11" t="s">
        <v>45</v>
      </c>
      <c r="F5" s="11">
        <v>56</v>
      </c>
      <c r="G5" s="11">
        <v>1198</v>
      </c>
      <c r="H5" s="11">
        <v>67088</v>
      </c>
      <c r="I5" s="12" t="s">
        <v>43</v>
      </c>
    </row>
    <row r="6" spans="1:9" x14ac:dyDescent="0.3">
      <c r="A6" s="15">
        <v>43208</v>
      </c>
      <c r="B6" s="9" t="s">
        <v>20</v>
      </c>
      <c r="C6" s="9" t="s">
        <v>28</v>
      </c>
      <c r="D6" s="9" t="s">
        <v>42</v>
      </c>
      <c r="E6" s="9" t="s">
        <v>45</v>
      </c>
      <c r="F6" s="9">
        <v>75</v>
      </c>
      <c r="G6" s="9">
        <v>1198</v>
      </c>
      <c r="H6" s="9">
        <v>89850</v>
      </c>
      <c r="I6" s="10" t="s">
        <v>33</v>
      </c>
    </row>
    <row r="7" spans="1:9" x14ac:dyDescent="0.3">
      <c r="A7" s="15">
        <v>43225</v>
      </c>
      <c r="B7" s="9" t="s">
        <v>20</v>
      </c>
      <c r="C7" s="9" t="s">
        <v>35</v>
      </c>
      <c r="D7" s="9" t="s">
        <v>41</v>
      </c>
      <c r="E7" s="9" t="s">
        <v>45</v>
      </c>
      <c r="F7" s="9">
        <v>90</v>
      </c>
      <c r="G7" s="9">
        <v>1198</v>
      </c>
      <c r="H7" s="9">
        <v>107820</v>
      </c>
      <c r="I7" s="10" t="s">
        <v>43</v>
      </c>
    </row>
    <row r="8" spans="1:9" x14ac:dyDescent="0.3">
      <c r="A8" s="15">
        <v>43344</v>
      </c>
      <c r="B8" s="9" t="s">
        <v>20</v>
      </c>
      <c r="C8" s="9" t="s">
        <v>31</v>
      </c>
      <c r="D8" s="9" t="s">
        <v>38</v>
      </c>
      <c r="E8" s="9" t="s">
        <v>37</v>
      </c>
      <c r="F8" s="9">
        <v>2</v>
      </c>
      <c r="G8" s="9">
        <v>125</v>
      </c>
      <c r="H8" s="9">
        <v>250</v>
      </c>
      <c r="I8" s="9" t="s">
        <v>24</v>
      </c>
    </row>
    <row r="9" spans="1:9" x14ac:dyDescent="0.3">
      <c r="A9" s="16">
        <v>43701</v>
      </c>
      <c r="B9" s="11" t="s">
        <v>25</v>
      </c>
      <c r="C9" s="11" t="s">
        <v>21</v>
      </c>
      <c r="D9" s="11" t="s">
        <v>26</v>
      </c>
      <c r="E9" s="11" t="s">
        <v>37</v>
      </c>
      <c r="F9" s="11">
        <v>3</v>
      </c>
      <c r="G9" s="11">
        <v>125</v>
      </c>
      <c r="H9" s="11">
        <v>375</v>
      </c>
      <c r="I9" s="11" t="s">
        <v>30</v>
      </c>
    </row>
    <row r="10" spans="1:9" x14ac:dyDescent="0.3">
      <c r="A10" s="15">
        <v>43123</v>
      </c>
      <c r="B10" s="9" t="s">
        <v>20</v>
      </c>
      <c r="C10" s="9" t="s">
        <v>35</v>
      </c>
      <c r="D10" s="9" t="s">
        <v>36</v>
      </c>
      <c r="E10" s="9" t="s">
        <v>39</v>
      </c>
      <c r="F10" s="9">
        <v>50</v>
      </c>
      <c r="G10" s="9">
        <v>500</v>
      </c>
      <c r="H10" s="9">
        <v>25000</v>
      </c>
      <c r="I10" s="9" t="s">
        <v>30</v>
      </c>
    </row>
    <row r="11" spans="1:9" x14ac:dyDescent="0.3">
      <c r="A11" s="16">
        <v>43378</v>
      </c>
      <c r="B11" s="11" t="s">
        <v>20</v>
      </c>
      <c r="C11" s="11" t="s">
        <v>35</v>
      </c>
      <c r="D11" s="11" t="s">
        <v>40</v>
      </c>
      <c r="E11" s="11" t="s">
        <v>39</v>
      </c>
      <c r="F11" s="11">
        <v>28</v>
      </c>
      <c r="G11" s="11">
        <v>500</v>
      </c>
      <c r="H11" s="11">
        <v>14000</v>
      </c>
      <c r="I11" s="11" t="s">
        <v>30</v>
      </c>
    </row>
    <row r="12" spans="1:9" x14ac:dyDescent="0.3">
      <c r="A12" s="15">
        <v>43616</v>
      </c>
      <c r="B12" s="9" t="s">
        <v>20</v>
      </c>
      <c r="C12" s="9" t="s">
        <v>21</v>
      </c>
      <c r="D12" s="9" t="s">
        <v>22</v>
      </c>
      <c r="E12" s="9" t="s">
        <v>39</v>
      </c>
      <c r="F12" s="9">
        <v>80</v>
      </c>
      <c r="G12" s="9">
        <v>500</v>
      </c>
      <c r="H12" s="9">
        <v>40000</v>
      </c>
      <c r="I12" s="9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81F1C-A61A-406B-B7D9-1BA8829F7B65}">
  <dimension ref="A1:I12"/>
  <sheetViews>
    <sheetView zoomScale="175" zoomScaleNormal="175" workbookViewId="0">
      <selection activeCell="G10" sqref="G10"/>
    </sheetView>
  </sheetViews>
  <sheetFormatPr defaultRowHeight="14.4" x14ac:dyDescent="0.3"/>
  <cols>
    <col min="1" max="1" width="9.109375" bestFit="1" customWidth="1"/>
    <col min="2" max="2" width="12.6640625" bestFit="1" customWidth="1"/>
    <col min="3" max="3" width="5.33203125" bestFit="1" customWidth="1"/>
    <col min="4" max="4" width="11" bestFit="1" customWidth="1"/>
    <col min="5" max="5" width="8.77734375" customWidth="1"/>
    <col min="6" max="6" width="13.21875" bestFit="1" customWidth="1"/>
    <col min="9" max="9" width="15.5546875" bestFit="1" customWidth="1"/>
  </cols>
  <sheetData>
    <row r="1" spans="1:9" x14ac:dyDescent="0.3">
      <c r="A1" s="25" t="s">
        <v>14</v>
      </c>
      <c r="B1" s="25" t="s">
        <v>15</v>
      </c>
      <c r="C1" s="25" t="s">
        <v>16</v>
      </c>
      <c r="D1" s="8" t="s">
        <v>17</v>
      </c>
      <c r="E1" s="25" t="s">
        <v>18</v>
      </c>
      <c r="F1" s="26" t="s">
        <v>19</v>
      </c>
    </row>
    <row r="2" spans="1:9" x14ac:dyDescent="0.3">
      <c r="A2" s="9" t="s">
        <v>34</v>
      </c>
      <c r="B2" s="9" t="s">
        <v>45</v>
      </c>
      <c r="C2" s="9">
        <v>95</v>
      </c>
      <c r="D2" s="9">
        <v>1198</v>
      </c>
      <c r="E2" s="9">
        <v>113810</v>
      </c>
      <c r="F2" s="10" t="s">
        <v>43</v>
      </c>
    </row>
    <row r="3" spans="1:9" x14ac:dyDescent="0.3">
      <c r="A3" s="9" t="s">
        <v>41</v>
      </c>
      <c r="B3" s="9" t="s">
        <v>45</v>
      </c>
      <c r="C3" s="9">
        <v>36</v>
      </c>
      <c r="D3" s="9">
        <v>1198</v>
      </c>
      <c r="E3" s="9">
        <v>43128</v>
      </c>
      <c r="F3" s="10" t="s">
        <v>33</v>
      </c>
    </row>
    <row r="4" spans="1:9" x14ac:dyDescent="0.3">
      <c r="A4" s="9" t="s">
        <v>22</v>
      </c>
      <c r="B4" s="9" t="s">
        <v>23</v>
      </c>
      <c r="C4" s="9">
        <v>27</v>
      </c>
      <c r="D4" s="9">
        <v>225</v>
      </c>
      <c r="E4" s="9">
        <v>6075</v>
      </c>
      <c r="F4" s="10" t="s">
        <v>24</v>
      </c>
    </row>
    <row r="5" spans="1:9" x14ac:dyDescent="0.3">
      <c r="A5" s="11" t="s">
        <v>26</v>
      </c>
      <c r="B5" s="11" t="s">
        <v>45</v>
      </c>
      <c r="C5" s="11">
        <v>56</v>
      </c>
      <c r="D5" s="11">
        <v>1198</v>
      </c>
      <c r="E5" s="11">
        <v>67088</v>
      </c>
      <c r="F5" s="12" t="s">
        <v>43</v>
      </c>
      <c r="G5" t="s">
        <v>26</v>
      </c>
      <c r="H5">
        <f>MATCH(G5,A2:A6,0)</f>
        <v>4</v>
      </c>
      <c r="I5" t="s">
        <v>54</v>
      </c>
    </row>
    <row r="6" spans="1:9" x14ac:dyDescent="0.3">
      <c r="A6" s="9" t="s">
        <v>42</v>
      </c>
      <c r="B6" s="9" t="s">
        <v>45</v>
      </c>
      <c r="C6" s="9">
        <v>75</v>
      </c>
      <c r="D6" s="9">
        <v>1198</v>
      </c>
      <c r="E6" s="9">
        <v>89850</v>
      </c>
      <c r="F6" s="10" t="s">
        <v>33</v>
      </c>
    </row>
    <row r="7" spans="1:9" x14ac:dyDescent="0.3">
      <c r="A7" s="9"/>
      <c r="B7" s="9"/>
      <c r="C7" s="9"/>
      <c r="D7" s="9"/>
      <c r="E7" s="9"/>
      <c r="F7" s="10"/>
      <c r="G7" t="s">
        <v>18</v>
      </c>
      <c r="H7">
        <f>MATCH(G7,A1:F1,0)</f>
        <v>5</v>
      </c>
      <c r="I7" t="s">
        <v>55</v>
      </c>
    </row>
    <row r="9" spans="1:9" x14ac:dyDescent="0.3">
      <c r="H9">
        <f>INDEX(A1:F6,3,3)</f>
        <v>36</v>
      </c>
    </row>
    <row r="10" spans="1:9" x14ac:dyDescent="0.3">
      <c r="E10" t="s">
        <v>26</v>
      </c>
      <c r="F10">
        <f>VLOOKUP(E10,A1:F6,5,FALSE)</f>
        <v>67088</v>
      </c>
    </row>
    <row r="11" spans="1:9" x14ac:dyDescent="0.3">
      <c r="H11" t="s">
        <v>17</v>
      </c>
    </row>
    <row r="12" spans="1:9" x14ac:dyDescent="0.3">
      <c r="G12" t="s">
        <v>22</v>
      </c>
      <c r="H12">
        <f>INDEX(A1:F6,MATCH(G12,A1:A6,0),MATCH(H11,A1:F1,0))</f>
        <v>225</v>
      </c>
    </row>
  </sheetData>
  <dataValidations count="2">
    <dataValidation type="list" allowBlank="1" showInputMessage="1" showErrorMessage="1" sqref="E10 G12" xr:uid="{C2FF0DE4-FFEB-40A3-90B2-34CF47904836}">
      <formula1>$A$2:$A$6</formula1>
    </dataValidation>
    <dataValidation type="list" allowBlank="1" showInputMessage="1" showErrorMessage="1" sqref="H11" xr:uid="{F106E82A-F4A0-4CFE-811A-83A437C4C094}">
      <formula1>$B$1:$F$1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FF50B-95A7-4FF3-BEC7-4B424575FC3A}">
  <dimension ref="A1:F11"/>
  <sheetViews>
    <sheetView zoomScale="175" zoomScaleNormal="175" workbookViewId="0">
      <selection activeCell="G9" sqref="G9"/>
    </sheetView>
  </sheetViews>
  <sheetFormatPr defaultRowHeight="14.4" x14ac:dyDescent="0.3"/>
  <cols>
    <col min="1" max="1" width="13.21875" bestFit="1" customWidth="1"/>
    <col min="2" max="2" width="9.109375" bestFit="1" customWidth="1"/>
    <col min="3" max="3" width="10.88671875" bestFit="1" customWidth="1"/>
    <col min="4" max="4" width="12.44140625" bestFit="1" customWidth="1"/>
    <col min="5" max="5" width="9.109375" bestFit="1" customWidth="1"/>
    <col min="6" max="6" width="10.88671875" bestFit="1" customWidth="1"/>
  </cols>
  <sheetData>
    <row r="1" spans="1:6" x14ac:dyDescent="0.3">
      <c r="A1" s="25" t="s">
        <v>14</v>
      </c>
      <c r="B1" s="9" t="s">
        <v>34</v>
      </c>
      <c r="C1" s="9" t="s">
        <v>41</v>
      </c>
      <c r="D1" s="9" t="s">
        <v>22</v>
      </c>
      <c r="E1" s="11" t="s">
        <v>26</v>
      </c>
      <c r="F1" s="9" t="s">
        <v>42</v>
      </c>
    </row>
    <row r="2" spans="1:6" x14ac:dyDescent="0.3">
      <c r="A2" s="25" t="s">
        <v>15</v>
      </c>
      <c r="B2" s="9" t="s">
        <v>45</v>
      </c>
      <c r="C2" s="9" t="s">
        <v>45</v>
      </c>
      <c r="D2" s="9" t="s">
        <v>23</v>
      </c>
      <c r="E2" s="11" t="s">
        <v>45</v>
      </c>
      <c r="F2" s="9" t="s">
        <v>45</v>
      </c>
    </row>
    <row r="3" spans="1:6" x14ac:dyDescent="0.3">
      <c r="A3" s="25" t="s">
        <v>16</v>
      </c>
      <c r="B3" s="9">
        <v>95</v>
      </c>
      <c r="C3" s="9">
        <v>36</v>
      </c>
      <c r="D3" s="9">
        <v>27</v>
      </c>
      <c r="E3" s="11">
        <v>56</v>
      </c>
      <c r="F3" s="9">
        <v>75</v>
      </c>
    </row>
    <row r="4" spans="1:6" x14ac:dyDescent="0.3">
      <c r="A4" s="8" t="s">
        <v>17</v>
      </c>
      <c r="B4" s="9">
        <v>1198</v>
      </c>
      <c r="C4" s="9">
        <v>1198</v>
      </c>
      <c r="D4" s="9">
        <v>225</v>
      </c>
      <c r="E4" s="11">
        <v>1198</v>
      </c>
      <c r="F4" s="9">
        <v>1198</v>
      </c>
    </row>
    <row r="5" spans="1:6" x14ac:dyDescent="0.3">
      <c r="A5" s="25" t="s">
        <v>18</v>
      </c>
      <c r="B5" s="9">
        <v>113810</v>
      </c>
      <c r="C5" s="9">
        <v>43128</v>
      </c>
      <c r="D5" s="9">
        <v>6075</v>
      </c>
      <c r="E5" s="11">
        <v>67088</v>
      </c>
      <c r="F5" s="9">
        <v>89850</v>
      </c>
    </row>
    <row r="6" spans="1:6" x14ac:dyDescent="0.3">
      <c r="A6" s="26" t="s">
        <v>19</v>
      </c>
      <c r="B6" s="10" t="s">
        <v>43</v>
      </c>
      <c r="C6" s="10" t="s">
        <v>33</v>
      </c>
      <c r="D6" s="10" t="s">
        <v>24</v>
      </c>
      <c r="E6" s="12" t="s">
        <v>43</v>
      </c>
      <c r="F6" s="10" t="s">
        <v>33</v>
      </c>
    </row>
    <row r="9" spans="1:6" x14ac:dyDescent="0.3">
      <c r="C9" t="s">
        <v>41</v>
      </c>
      <c r="D9" t="str">
        <f>HLOOKUP(C9,A1:F6,6,FALSE)</f>
        <v>DEBIT CARD</v>
      </c>
    </row>
    <row r="11" spans="1:6" x14ac:dyDescent="0.3">
      <c r="D11">
        <f>HLOOKUP(D1,A1:F6,4,FALSE)</f>
        <v>225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0A602-ACB7-48D3-98EE-5E152AD7D4E0}">
  <dimension ref="A1:F14"/>
  <sheetViews>
    <sheetView zoomScale="145" zoomScaleNormal="145" workbookViewId="0">
      <selection sqref="A1:F6"/>
    </sheetView>
  </sheetViews>
  <sheetFormatPr defaultRowHeight="14.4" x14ac:dyDescent="0.3"/>
  <cols>
    <col min="1" max="1" width="9.109375" bestFit="1" customWidth="1"/>
    <col min="2" max="2" width="12.6640625" bestFit="1" customWidth="1"/>
    <col min="3" max="3" width="5.33203125" bestFit="1" customWidth="1"/>
    <col min="4" max="4" width="11" bestFit="1" customWidth="1"/>
    <col min="5" max="5" width="8.77734375" bestFit="1" customWidth="1"/>
    <col min="6" max="6" width="13.21875" bestFit="1" customWidth="1"/>
  </cols>
  <sheetData>
    <row r="1" spans="1:6" x14ac:dyDescent="0.3">
      <c r="A1" s="25" t="s">
        <v>14</v>
      </c>
      <c r="B1" s="25" t="s">
        <v>15</v>
      </c>
      <c r="C1" s="25" t="s">
        <v>16</v>
      </c>
      <c r="D1" s="8" t="s">
        <v>17</v>
      </c>
      <c r="E1" s="25" t="s">
        <v>18</v>
      </c>
      <c r="F1" s="26" t="s">
        <v>19</v>
      </c>
    </row>
    <row r="2" spans="1:6" x14ac:dyDescent="0.3">
      <c r="A2" s="9" t="s">
        <v>34</v>
      </c>
      <c r="B2" s="9" t="s">
        <v>45</v>
      </c>
      <c r="C2" s="9">
        <v>95</v>
      </c>
      <c r="D2" s="9">
        <v>789</v>
      </c>
      <c r="E2" s="9">
        <v>113810</v>
      </c>
      <c r="F2" s="10" t="s">
        <v>43</v>
      </c>
    </row>
    <row r="3" spans="1:6" x14ac:dyDescent="0.3">
      <c r="A3" s="9" t="s">
        <v>41</v>
      </c>
      <c r="B3" s="9" t="s">
        <v>45</v>
      </c>
      <c r="C3" s="9">
        <v>36</v>
      </c>
      <c r="D3" s="9">
        <v>1198</v>
      </c>
      <c r="E3" s="9">
        <v>43128</v>
      </c>
      <c r="F3" s="10" t="s">
        <v>33</v>
      </c>
    </row>
    <row r="4" spans="1:6" x14ac:dyDescent="0.3">
      <c r="A4" s="9" t="s">
        <v>22</v>
      </c>
      <c r="B4" s="9" t="s">
        <v>23</v>
      </c>
      <c r="C4" s="9">
        <v>27</v>
      </c>
      <c r="D4" s="9">
        <v>225</v>
      </c>
      <c r="E4" s="9">
        <v>6075</v>
      </c>
      <c r="F4" s="10" t="s">
        <v>24</v>
      </c>
    </row>
    <row r="5" spans="1:6" x14ac:dyDescent="0.3">
      <c r="A5" s="11" t="s">
        <v>26</v>
      </c>
      <c r="B5" s="11" t="s">
        <v>45</v>
      </c>
      <c r="C5" s="11">
        <v>56</v>
      </c>
      <c r="D5" s="11">
        <v>6775</v>
      </c>
      <c r="E5" s="11">
        <v>67088</v>
      </c>
      <c r="F5" s="12" t="s">
        <v>43</v>
      </c>
    </row>
    <row r="6" spans="1:6" x14ac:dyDescent="0.3">
      <c r="A6" s="9" t="s">
        <v>42</v>
      </c>
      <c r="B6" s="9" t="s">
        <v>45</v>
      </c>
      <c r="C6" s="9">
        <v>75</v>
      </c>
      <c r="D6" s="9">
        <v>4532</v>
      </c>
      <c r="E6" s="9">
        <v>89850</v>
      </c>
      <c r="F6" s="10" t="s">
        <v>33</v>
      </c>
    </row>
    <row r="8" spans="1:6" x14ac:dyDescent="0.3">
      <c r="F8" s="27" t="s">
        <v>56</v>
      </c>
    </row>
    <row r="9" spans="1:6" x14ac:dyDescent="0.3">
      <c r="E9" t="s">
        <v>22</v>
      </c>
      <c r="F9">
        <f>MATCH(E9,A2:A6,0)</f>
        <v>3</v>
      </c>
    </row>
    <row r="11" spans="1:6" x14ac:dyDescent="0.3">
      <c r="E11">
        <f>INDEX(A1:F6,F9+1,4)</f>
        <v>225</v>
      </c>
    </row>
    <row r="13" spans="1:6" x14ac:dyDescent="0.3">
      <c r="F13" t="s">
        <v>18</v>
      </c>
    </row>
    <row r="14" spans="1:6" x14ac:dyDescent="0.3">
      <c r="E14" t="s">
        <v>42</v>
      </c>
      <c r="F14">
        <f>INDEX(A1:F6,MATCH(E14,A1:A6,0),MATCH(F13,A1:F1,0))</f>
        <v>89850</v>
      </c>
    </row>
  </sheetData>
  <dataValidations count="2">
    <dataValidation type="list" allowBlank="1" showInputMessage="1" showErrorMessage="1" sqref="E9 E14" xr:uid="{06A2B1AE-64A5-4CDB-8B6F-F7AF40CD75D7}">
      <formula1>$A$2:$A$6</formula1>
    </dataValidation>
    <dataValidation type="list" allowBlank="1" showInputMessage="1" showErrorMessage="1" sqref="F13" xr:uid="{EC2E26DA-E9AF-4D4A-9F5F-4684D2E21550}">
      <formula1>$B$1:$F$1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94F60-7AA3-4C52-BA3B-51CD5E0EDCC8}">
  <dimension ref="A1:F10"/>
  <sheetViews>
    <sheetView zoomScale="175" zoomScaleNormal="175" workbookViewId="0">
      <selection activeCell="D9" sqref="D9:G12"/>
    </sheetView>
  </sheetViews>
  <sheetFormatPr defaultRowHeight="14.4" x14ac:dyDescent="0.3"/>
  <cols>
    <col min="1" max="1" width="9.109375" bestFit="1" customWidth="1"/>
    <col min="2" max="2" width="9.5546875" bestFit="1" customWidth="1"/>
    <col min="3" max="3" width="5.33203125" bestFit="1" customWidth="1"/>
    <col min="4" max="4" width="11" bestFit="1" customWidth="1"/>
    <col min="5" max="5" width="9.109375" bestFit="1" customWidth="1"/>
    <col min="6" max="6" width="13.21875" bestFit="1" customWidth="1"/>
  </cols>
  <sheetData>
    <row r="1" spans="1:6" x14ac:dyDescent="0.3">
      <c r="A1" s="25" t="s">
        <v>14</v>
      </c>
      <c r="B1" s="25" t="s">
        <v>15</v>
      </c>
      <c r="C1" s="25" t="s">
        <v>16</v>
      </c>
      <c r="D1" s="8" t="s">
        <v>17</v>
      </c>
      <c r="E1" s="25" t="s">
        <v>18</v>
      </c>
      <c r="F1" s="26" t="s">
        <v>19</v>
      </c>
    </row>
    <row r="2" spans="1:6" x14ac:dyDescent="0.3">
      <c r="A2" s="9" t="s">
        <v>34</v>
      </c>
      <c r="B2" s="9" t="s">
        <v>45</v>
      </c>
      <c r="C2" s="9">
        <v>95</v>
      </c>
      <c r="D2" s="9">
        <v>789</v>
      </c>
      <c r="E2" s="9">
        <v>113810</v>
      </c>
      <c r="F2" s="10" t="s">
        <v>43</v>
      </c>
    </row>
    <row r="3" spans="1:6" x14ac:dyDescent="0.3">
      <c r="A3" s="9" t="s">
        <v>41</v>
      </c>
      <c r="B3" s="9" t="s">
        <v>45</v>
      </c>
      <c r="C3" s="9">
        <v>36</v>
      </c>
      <c r="D3" s="9">
        <v>1198</v>
      </c>
      <c r="E3" s="9">
        <v>43128</v>
      </c>
      <c r="F3" s="10" t="s">
        <v>33</v>
      </c>
    </row>
    <row r="4" spans="1:6" x14ac:dyDescent="0.3">
      <c r="A4" s="9" t="s">
        <v>22</v>
      </c>
      <c r="B4" s="9" t="s">
        <v>23</v>
      </c>
      <c r="C4" s="9">
        <v>27</v>
      </c>
      <c r="D4" s="9">
        <v>225</v>
      </c>
      <c r="E4" s="9">
        <v>6075</v>
      </c>
      <c r="F4" s="10" t="s">
        <v>24</v>
      </c>
    </row>
    <row r="5" spans="1:6" x14ac:dyDescent="0.3">
      <c r="A5" s="11" t="s">
        <v>26</v>
      </c>
      <c r="B5" s="11" t="s">
        <v>45</v>
      </c>
      <c r="C5" s="11">
        <v>56</v>
      </c>
      <c r="D5" s="11">
        <v>6775</v>
      </c>
      <c r="E5" s="11">
        <v>67088</v>
      </c>
      <c r="F5" s="12" t="s">
        <v>43</v>
      </c>
    </row>
    <row r="6" spans="1:6" x14ac:dyDescent="0.3">
      <c r="A6" s="9" t="s">
        <v>42</v>
      </c>
      <c r="B6" s="9" t="s">
        <v>45</v>
      </c>
      <c r="C6" s="9">
        <v>75</v>
      </c>
      <c r="D6" s="9">
        <v>4532</v>
      </c>
      <c r="E6" s="9">
        <v>89850</v>
      </c>
      <c r="F6" s="10" t="s">
        <v>33</v>
      </c>
    </row>
    <row r="10" spans="1:6" x14ac:dyDescent="0.3">
      <c r="E10" t="s">
        <v>22</v>
      </c>
      <c r="F10">
        <f>VLOOKUP(E10,A1:F6,4,FALSE)</f>
        <v>225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C074B-E8E5-44D7-B82A-84C06EA9E786}">
  <dimension ref="A1:F8"/>
  <sheetViews>
    <sheetView zoomScale="175" zoomScaleNormal="175" workbookViewId="0">
      <selection activeCell="F10" sqref="F10"/>
    </sheetView>
  </sheetViews>
  <sheetFormatPr defaultRowHeight="14.4" x14ac:dyDescent="0.3"/>
  <cols>
    <col min="1" max="1" width="13.21875" bestFit="1" customWidth="1"/>
    <col min="2" max="2" width="9.109375" bestFit="1" customWidth="1"/>
    <col min="3" max="3" width="10.88671875" bestFit="1" customWidth="1"/>
    <col min="4" max="4" width="12.44140625" bestFit="1" customWidth="1"/>
    <col min="5" max="5" width="9.109375" bestFit="1" customWidth="1"/>
    <col min="6" max="6" width="10.88671875" bestFit="1" customWidth="1"/>
  </cols>
  <sheetData>
    <row r="1" spans="1:6" x14ac:dyDescent="0.3">
      <c r="A1" s="25" t="s">
        <v>14</v>
      </c>
      <c r="B1" s="9" t="s">
        <v>34</v>
      </c>
      <c r="C1" s="9" t="s">
        <v>41</v>
      </c>
      <c r="D1" s="9" t="s">
        <v>22</v>
      </c>
      <c r="E1" s="11" t="s">
        <v>26</v>
      </c>
      <c r="F1" s="9" t="s">
        <v>42</v>
      </c>
    </row>
    <row r="2" spans="1:6" x14ac:dyDescent="0.3">
      <c r="A2" s="25" t="s">
        <v>15</v>
      </c>
      <c r="B2" s="9" t="s">
        <v>45</v>
      </c>
      <c r="C2" s="9" t="s">
        <v>45</v>
      </c>
      <c r="D2" s="9" t="s">
        <v>23</v>
      </c>
      <c r="E2" s="11" t="s">
        <v>45</v>
      </c>
      <c r="F2" s="9" t="s">
        <v>45</v>
      </c>
    </row>
    <row r="3" spans="1:6" x14ac:dyDescent="0.3">
      <c r="A3" s="25" t="s">
        <v>16</v>
      </c>
      <c r="B3" s="9">
        <v>95</v>
      </c>
      <c r="C3" s="9">
        <v>36</v>
      </c>
      <c r="D3" s="9">
        <v>27</v>
      </c>
      <c r="E3" s="11">
        <v>56</v>
      </c>
      <c r="F3" s="9">
        <v>75</v>
      </c>
    </row>
    <row r="4" spans="1:6" x14ac:dyDescent="0.3">
      <c r="A4" s="8" t="s">
        <v>17</v>
      </c>
      <c r="B4" s="9">
        <v>789</v>
      </c>
      <c r="C4" s="9">
        <v>1198</v>
      </c>
      <c r="D4" s="9">
        <v>225</v>
      </c>
      <c r="E4" s="11">
        <v>6775</v>
      </c>
      <c r="F4" s="9">
        <v>4532</v>
      </c>
    </row>
    <row r="5" spans="1:6" x14ac:dyDescent="0.3">
      <c r="A5" s="25" t="s">
        <v>18</v>
      </c>
      <c r="B5" s="9">
        <v>113810</v>
      </c>
      <c r="C5" s="9">
        <v>43128</v>
      </c>
      <c r="D5" s="9">
        <v>6075</v>
      </c>
      <c r="E5" s="11">
        <v>67088</v>
      </c>
      <c r="F5" s="9">
        <v>89850</v>
      </c>
    </row>
    <row r="6" spans="1:6" x14ac:dyDescent="0.3">
      <c r="A6" s="26" t="s">
        <v>19</v>
      </c>
      <c r="B6" s="10" t="s">
        <v>43</v>
      </c>
      <c r="C6" s="10" t="s">
        <v>33</v>
      </c>
      <c r="D6" s="10" t="s">
        <v>24</v>
      </c>
      <c r="E6" s="12" t="s">
        <v>43</v>
      </c>
      <c r="F6" s="10" t="s">
        <v>33</v>
      </c>
    </row>
    <row r="8" spans="1:6" x14ac:dyDescent="0.3">
      <c r="C8" t="s">
        <v>22</v>
      </c>
      <c r="D8" t="str">
        <f>HLOOKUP(C8,A1:F6,6,FALSE)</f>
        <v>NET BANKING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9352A4-36A2-4380-B3C9-7A93AAF00B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Practice Date Formule</vt:lpstr>
      <vt:lpstr>Sheet3</vt:lpstr>
      <vt:lpstr>Some Advance Maths</vt:lpstr>
      <vt:lpstr>Sheet4</vt:lpstr>
      <vt:lpstr>Sheet5</vt:lpstr>
      <vt:lpstr>Sheet6</vt:lpstr>
      <vt:lpstr>Sheet1</vt:lpstr>
      <vt:lpstr>Sheet2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dcterms:created xsi:type="dcterms:W3CDTF">2015-06-05T18:17:20Z</dcterms:created>
  <dcterms:modified xsi:type="dcterms:W3CDTF">2026-05-19T09:16:21Z</dcterms:modified>
</cp:coreProperties>
</file>